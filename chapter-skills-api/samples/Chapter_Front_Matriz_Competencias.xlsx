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vonne_a_garmendia_accenture_com/Documents/"/>
    </mc:Choice>
  </mc:AlternateContent>
  <xr:revisionPtr revIDLastSave="0" documentId="8_{59E2FCF8-ED13-4984-A29B-8C778C250D22}" xr6:coauthVersionLast="47" xr6:coauthVersionMax="47" xr10:uidLastSave="{00000000-0000-0000-0000-000000000000}"/>
  <bookViews>
    <workbookView xWindow="0" yWindow="760" windowWidth="34560" windowHeight="21580" firstSheet="1" activeTab="1" xr2:uid="{00000000-000D-0000-FFFF-FFFF00000000}"/>
  </bookViews>
  <sheets>
    <sheet name="Instrucciones" sheetId="3" r:id="rId1"/>
    <sheet name="Matriz de Competenci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4" l="1"/>
  <c r="J67" i="4"/>
  <c r="H67" i="4"/>
  <c r="F67" i="4"/>
  <c r="K8" i="4"/>
  <c r="J8" i="4"/>
  <c r="H8" i="4"/>
  <c r="F8" i="4"/>
  <c r="J9" i="3"/>
  <c r="F9" i="3" s="1"/>
  <c r="K9" i="3"/>
  <c r="H9" i="3" s="1"/>
  <c r="J10" i="3"/>
  <c r="F10" i="3" s="1"/>
  <c r="K10" i="3"/>
  <c r="H10" i="3" s="1"/>
  <c r="J11" i="3"/>
  <c r="F11" i="3" s="1"/>
  <c r="K11" i="3"/>
  <c r="H11" i="3" s="1"/>
  <c r="J12" i="3"/>
  <c r="F12" i="3" s="1"/>
  <c r="K12" i="3"/>
  <c r="H12" i="3" s="1"/>
  <c r="J13" i="3"/>
  <c r="F13" i="3" s="1"/>
  <c r="K13" i="3"/>
  <c r="H13" i="3" s="1"/>
  <c r="J14" i="3"/>
  <c r="F14" i="3" s="1"/>
  <c r="K14" i="3"/>
  <c r="H14" i="3" s="1"/>
  <c r="J15" i="3"/>
  <c r="F15" i="3" s="1"/>
  <c r="K15" i="3"/>
  <c r="H15" i="3" s="1"/>
  <c r="J16" i="3"/>
  <c r="F16" i="3" s="1"/>
  <c r="K16" i="3"/>
  <c r="H16" i="3" s="1"/>
  <c r="F17" i="3"/>
  <c r="H17" i="3"/>
  <c r="J17" i="3"/>
  <c r="K17" i="3"/>
  <c r="F8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H8" i="3"/>
  <c r="J8" i="3"/>
  <c r="K8" i="3"/>
  <c r="J16" i="4" l="1"/>
  <c r="F16" i="4" s="1"/>
  <c r="J37" i="4"/>
  <c r="F37" i="4" s="1"/>
  <c r="J36" i="4"/>
  <c r="F36" i="4" s="1"/>
  <c r="J35" i="4"/>
  <c r="F35" i="4" s="1"/>
  <c r="J34" i="4"/>
  <c r="F34" i="4" s="1"/>
  <c r="J33" i="4"/>
  <c r="F33" i="4" s="1"/>
  <c r="J32" i="4"/>
  <c r="F32" i="4" s="1"/>
  <c r="J31" i="4"/>
  <c r="F31" i="4" s="1"/>
  <c r="J30" i="4"/>
  <c r="F30" i="4" s="1"/>
  <c r="J29" i="4"/>
  <c r="F29" i="4" s="1"/>
  <c r="J28" i="4"/>
  <c r="F28" i="4" s="1"/>
  <c r="J27" i="4"/>
  <c r="F27" i="4" s="1"/>
  <c r="J26" i="4"/>
  <c r="F26" i="4" s="1"/>
  <c r="J25" i="4"/>
  <c r="F25" i="4" s="1"/>
  <c r="J24" i="4"/>
  <c r="F24" i="4" s="1"/>
  <c r="J23" i="4"/>
  <c r="F23" i="4" s="1"/>
  <c r="J22" i="4"/>
  <c r="F22" i="4" s="1"/>
  <c r="J21" i="4"/>
  <c r="F21" i="4" s="1"/>
  <c r="J20" i="4"/>
  <c r="F20" i="4" s="1"/>
  <c r="J19" i="4"/>
  <c r="F19" i="4" s="1"/>
  <c r="J18" i="4"/>
  <c r="F18" i="4" s="1"/>
  <c r="J17" i="4"/>
  <c r="F17" i="4" s="1"/>
  <c r="K16" i="4"/>
  <c r="H16" i="4" s="1"/>
  <c r="K37" i="4"/>
  <c r="H37" i="4" s="1"/>
  <c r="K36" i="4"/>
  <c r="H36" i="4" s="1"/>
  <c r="K35" i="4"/>
  <c r="H35" i="4" s="1"/>
  <c r="K34" i="4"/>
  <c r="H34" i="4" s="1"/>
  <c r="K33" i="4"/>
  <c r="H33" i="4" s="1"/>
  <c r="K32" i="4"/>
  <c r="H32" i="4" s="1"/>
  <c r="K31" i="4"/>
  <c r="H31" i="4" s="1"/>
  <c r="K30" i="4"/>
  <c r="H30" i="4" s="1"/>
  <c r="K29" i="4"/>
  <c r="H29" i="4" s="1"/>
  <c r="K28" i="4"/>
  <c r="H28" i="4" s="1"/>
  <c r="K27" i="4"/>
  <c r="H27" i="4" s="1"/>
  <c r="K26" i="4"/>
  <c r="H26" i="4" s="1"/>
  <c r="K25" i="4"/>
  <c r="H25" i="4" s="1"/>
  <c r="K24" i="4"/>
  <c r="H24" i="4" s="1"/>
  <c r="K23" i="4"/>
  <c r="H23" i="4" s="1"/>
  <c r="K22" i="4"/>
  <c r="H22" i="4" s="1"/>
  <c r="K21" i="4"/>
  <c r="H21" i="4" s="1"/>
  <c r="K20" i="4"/>
  <c r="H20" i="4" s="1"/>
  <c r="K19" i="4"/>
  <c r="H19" i="4" s="1"/>
  <c r="K18" i="4"/>
  <c r="H18" i="4" s="1"/>
  <c r="K17" i="4"/>
  <c r="H17" i="4" s="1"/>
  <c r="J9" i="4"/>
  <c r="F9" i="4" s="1"/>
  <c r="J11" i="4"/>
  <c r="F11" i="4" s="1"/>
  <c r="J13" i="4"/>
  <c r="F13" i="4" s="1"/>
  <c r="J15" i="4"/>
  <c r="F15" i="4" s="1"/>
  <c r="K9" i="4"/>
  <c r="H9" i="4" s="1"/>
  <c r="K11" i="4"/>
  <c r="H11" i="4" s="1"/>
  <c r="K13" i="4"/>
  <c r="H13" i="4" s="1"/>
  <c r="K15" i="4"/>
  <c r="H15" i="4" s="1"/>
  <c r="J10" i="4"/>
  <c r="F10" i="4" s="1"/>
  <c r="J12" i="4"/>
  <c r="F12" i="4" s="1"/>
  <c r="J14" i="4"/>
  <c r="F14" i="4" s="1"/>
  <c r="K10" i="4"/>
  <c r="H10" i="4" s="1"/>
  <c r="K12" i="4"/>
  <c r="H12" i="4" s="1"/>
  <c r="K14" i="4"/>
  <c r="H14" i="4" s="1"/>
  <c r="Q4" i="3"/>
  <c r="P4" i="3"/>
  <c r="M4" i="3"/>
  <c r="L4" i="3"/>
  <c r="Q2" i="3"/>
  <c r="P3" i="3"/>
  <c r="Q3" i="3"/>
  <c r="P2" i="3"/>
  <c r="M3" i="3"/>
  <c r="M2" i="3"/>
  <c r="L3" i="3"/>
  <c r="L2" i="3"/>
  <c r="N3" i="3"/>
  <c r="N2" i="3"/>
  <c r="Q3" i="4" l="1"/>
  <c r="P3" i="4"/>
  <c r="N3" i="4"/>
  <c r="M3" i="4"/>
  <c r="L3" i="4"/>
  <c r="M2" i="4"/>
  <c r="L2" i="4"/>
  <c r="Q4" i="4"/>
  <c r="P4" i="4"/>
  <c r="Q2" i="4"/>
  <c r="M4" i="4"/>
  <c r="P2" i="4"/>
  <c r="L4" i="4"/>
  <c r="N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Gálvez, Pablo</author>
  </authors>
  <commentList>
    <comment ref="M6" authorId="0" shapeId="0" xr:uid="{FCA770AA-2B30-467B-AD89-EB55499A2AAF}">
      <text>
        <r>
          <rPr>
            <b/>
            <sz val="9"/>
            <color indexed="81"/>
            <rFont val="Tahoma"/>
            <family val="2"/>
          </rPr>
          <t xml:space="preserve">(4) Detalle de participantes del chapter
</t>
        </r>
        <r>
          <rPr>
            <sz val="9"/>
            <color indexed="81"/>
            <rFont val="Tahoma"/>
            <family val="2"/>
          </rPr>
          <t xml:space="preserve">¿Qué conocimientos tenemos hoy?
Indique la información de cada participante del Chapter y su nivel ACTUAL en cada tema:
- Conocimiento </t>
        </r>
        <r>
          <rPr>
            <b/>
            <sz val="9"/>
            <color indexed="81"/>
            <rFont val="Tahoma"/>
            <family val="2"/>
          </rPr>
          <t>Experto</t>
        </r>
        <r>
          <rPr>
            <sz val="9"/>
            <color indexed="81"/>
            <rFont val="Tahoma"/>
            <family val="2"/>
          </rPr>
          <t xml:space="preserve">,
- Conocimiento </t>
        </r>
        <r>
          <rPr>
            <b/>
            <sz val="9"/>
            <color indexed="81"/>
            <rFont val="Tahoma"/>
            <family val="2"/>
          </rPr>
          <t>General</t>
        </r>
        <r>
          <rPr>
            <sz val="9"/>
            <color indexed="81"/>
            <rFont val="Tahoma"/>
            <family val="2"/>
          </rPr>
          <t>, o
- en blanco (sin conocimientos)</t>
        </r>
      </text>
    </comment>
    <comment ref="F7" authorId="0" shapeId="0" xr:uid="{7B5B692F-0A21-4EA6-AEB2-3A8F0900756B}">
      <text>
        <r>
          <rPr>
            <b/>
            <sz val="9"/>
            <color indexed="81"/>
            <rFont val="Tahoma"/>
            <family val="2"/>
          </rPr>
          <t xml:space="preserve">(3) Personas x Nivel esperado:
</t>
        </r>
        <r>
          <rPr>
            <sz val="9"/>
            <color indexed="81"/>
            <rFont val="Tahoma"/>
            <family val="2"/>
          </rPr>
          <t>¿Cuánta expertise necesitamos tener?
Complete la cantidad de personas con conocimientos experto o conocimientos generales del tema</t>
        </r>
      </text>
    </comment>
    <comment ref="D8" authorId="0" shapeId="0" xr:uid="{F26DBC69-19DC-4E38-B871-5EB01C723FB2}">
      <text>
        <r>
          <rPr>
            <b/>
            <sz val="8"/>
            <color indexed="81"/>
            <rFont val="Tahoma"/>
            <family val="2"/>
          </rPr>
          <t>(2) Prioridad:</t>
        </r>
        <r>
          <rPr>
            <sz val="8"/>
            <color indexed="81"/>
            <rFont val="Tahoma"/>
            <family val="2"/>
          </rPr>
          <t xml:space="preserve">
¿Qué temas son 1ra prioridad?
Indique con "Sí" en los temas que son de mayor prioridad a ser desarrollados en el Chapter</t>
        </r>
      </text>
    </comment>
    <comment ref="E8" authorId="0" shapeId="0" xr:uid="{1BEF39AD-68F4-4F63-9AB8-0A07D428F1C1}">
      <text>
        <r>
          <rPr>
            <b/>
            <sz val="8"/>
            <color indexed="81"/>
            <rFont val="Tahoma"/>
            <family val="2"/>
          </rPr>
          <t xml:space="preserve">(1) Conocimiento o Tema:
</t>
        </r>
        <r>
          <rPr>
            <sz val="8"/>
            <color indexed="81"/>
            <rFont val="Tahoma"/>
            <family val="2"/>
          </rPr>
          <t>¿Qué conocimientos se requieren?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Detalle el listado de habilidades y conocimientos relevantes y necesarios en el Chapter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Gálvez, Pablo</author>
  </authors>
  <commentList>
    <comment ref="M6" authorId="0" shapeId="0" xr:uid="{B1787FA9-370C-4DF6-A03A-A5A76DB684F1}">
      <text>
        <r>
          <rPr>
            <b/>
            <sz val="9"/>
            <color indexed="81"/>
            <rFont val="Tahoma"/>
            <family val="2"/>
          </rPr>
          <t xml:space="preserve">(4) Detalle de participantes del chapter
</t>
        </r>
        <r>
          <rPr>
            <sz val="9"/>
            <color indexed="81"/>
            <rFont val="Tahoma"/>
            <family val="2"/>
          </rPr>
          <t xml:space="preserve">¿Qué conocimientos tenemos hoy?
Indique la información de cada participante del Chapter y su nivel ACTUAL en cada tema:
- Conocimiento </t>
        </r>
        <r>
          <rPr>
            <b/>
            <sz val="9"/>
            <color indexed="81"/>
            <rFont val="Tahoma"/>
            <family val="2"/>
          </rPr>
          <t>Experto</t>
        </r>
        <r>
          <rPr>
            <sz val="9"/>
            <color indexed="81"/>
            <rFont val="Tahoma"/>
            <family val="2"/>
          </rPr>
          <t xml:space="preserve">,
- Conocimiento </t>
        </r>
        <r>
          <rPr>
            <b/>
            <sz val="9"/>
            <color indexed="81"/>
            <rFont val="Tahoma"/>
            <family val="2"/>
          </rPr>
          <t>General</t>
        </r>
        <r>
          <rPr>
            <sz val="9"/>
            <color indexed="81"/>
            <rFont val="Tahoma"/>
            <family val="2"/>
          </rPr>
          <t>, o
- en blanco (sin conocimientos)</t>
        </r>
      </text>
    </comment>
    <comment ref="F7" authorId="0" shapeId="0" xr:uid="{272413E9-0B1C-47D6-8AA8-A6217C65072B}">
      <text>
        <r>
          <rPr>
            <b/>
            <sz val="9"/>
            <color indexed="81"/>
            <rFont val="Tahoma"/>
            <family val="2"/>
          </rPr>
          <t xml:space="preserve">(3) Personas x Nivel esperado:
</t>
        </r>
        <r>
          <rPr>
            <sz val="9"/>
            <color indexed="81"/>
            <rFont val="Tahoma"/>
            <family val="2"/>
          </rPr>
          <t>¿Cuánta expertise necesitamos tener?
Complete la cantidad de personas con conocimientos experto o conocimientos generales del tema</t>
        </r>
      </text>
    </comment>
    <comment ref="D8" authorId="0" shapeId="0" xr:uid="{5E3FEDA5-71C6-4CFF-9BA0-569BD3666AAD}">
      <text>
        <r>
          <rPr>
            <b/>
            <sz val="8"/>
            <color indexed="81"/>
            <rFont val="Tahoma"/>
            <family val="2"/>
          </rPr>
          <t>(2) Prioridad:</t>
        </r>
        <r>
          <rPr>
            <sz val="8"/>
            <color indexed="81"/>
            <rFont val="Tahoma"/>
            <family val="2"/>
          </rPr>
          <t xml:space="preserve">
¿Qué temas son 1ra prioridad?
Indique con "Sí" en los temas que son de mayor prioridad a ser desarrollados en el Chapter</t>
        </r>
      </text>
    </comment>
    <comment ref="E8" authorId="0" shapeId="0" xr:uid="{B73E1B51-412B-4FAD-A434-1E709044D73A}">
      <text>
        <r>
          <rPr>
            <b/>
            <sz val="8"/>
            <color indexed="81"/>
            <rFont val="Tahoma"/>
            <family val="2"/>
          </rPr>
          <t xml:space="preserve">(1) Conocimiento o Tema:
</t>
        </r>
        <r>
          <rPr>
            <sz val="8"/>
            <color indexed="81"/>
            <rFont val="Tahoma"/>
            <family val="2"/>
          </rPr>
          <t>¿Qué conocimientos se requieren?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Detalle el listado de habilidades y conocimientos relevantes y necesarios en el Chapter</t>
        </r>
      </text>
    </comment>
  </commentList>
</comments>
</file>

<file path=xl/sharedStrings.xml><?xml version="1.0" encoding="utf-8"?>
<sst xmlns="http://schemas.openxmlformats.org/spreadsheetml/2006/main" count="683" uniqueCount="113">
  <si>
    <t>MATRIZ DE COMPETENCIAS</t>
  </si>
  <si>
    <t>TIPO DE CONOCIMIENTO</t>
  </si>
  <si>
    <t>% Cobertura de temas</t>
  </si>
  <si>
    <t>Gaps por niveles esperados</t>
  </si>
  <si>
    <t>% Cobertura de temas Prioritarios</t>
  </si>
  <si>
    <t>Experto</t>
  </si>
  <si>
    <t>CHAPTER:</t>
  </si>
  <si>
    <t>General</t>
  </si>
  <si>
    <t>(Identifique el nombre del Chapter)</t>
  </si>
  <si>
    <t>Temas cubiertos</t>
  </si>
  <si>
    <t>Participantes del Chapter y su nivel actual de competencias</t>
  </si>
  <si>
    <t>PERSONAS x NIVEL ESPERADO</t>
  </si>
  <si>
    <t>PERSONAS  x NIVEL ACTUAL</t>
  </si>
  <si>
    <t>Nombre 1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</si>
  <si>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</si>
  <si>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</si>
  <si>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</si>
  <si>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</si>
  <si>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</si>
  <si>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</si>
  <si>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</si>
  <si>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</si>
  <si>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</si>
  <si>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</si>
  <si>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</si>
  <si>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</si>
  <si>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</si>
  <si>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 15</t>
  </si>
  <si>
    <t>Nombre 16</t>
  </si>
  <si>
    <t>Nombre 17</t>
  </si>
  <si>
    <t>Nombre 18</t>
  </si>
  <si>
    <t>Nombre 19</t>
  </si>
  <si>
    <t>Nombre 20</t>
  </si>
  <si>
    <t>#</t>
  </si>
  <si>
    <t>Priorit.</t>
  </si>
  <si>
    <t>Conocimiento / Tema</t>
  </si>
  <si>
    <t>ML:</t>
  </si>
  <si>
    <t>CONOCIMIENTOS  / TEMAS POR PERSONA</t>
  </si>
  <si>
    <t>Sí</t>
  </si>
  <si>
    <t>Ejemplo 1</t>
  </si>
  <si>
    <t>Ejemplo 2</t>
  </si>
  <si>
    <t>Ejemplo 3</t>
  </si>
  <si>
    <t>Ejemplo 4</t>
  </si>
  <si>
    <t>Ejemplo 5</t>
  </si>
  <si>
    <t>Ejemplo 6</t>
  </si>
  <si>
    <t>Ejemplo 7</t>
  </si>
  <si>
    <t>Ejemplo 8</t>
  </si>
  <si>
    <t>Matias Guiñazú</t>
  </si>
  <si>
    <t>Jorge Cortes</t>
  </si>
  <si>
    <t>Gabriel Valdivia</t>
  </si>
  <si>
    <t>Felipe Bustamante</t>
  </si>
  <si>
    <t>Christian Aguilar</t>
  </si>
  <si>
    <t>Benjamín E. Barros N.</t>
  </si>
  <si>
    <t>Andrés Rodríguez</t>
  </si>
  <si>
    <t>Hans Barnert</t>
  </si>
  <si>
    <t>Hong Jin</t>
  </si>
  <si>
    <t>Madeleyne Silva</t>
  </si>
  <si>
    <t>Diego Sáez</t>
  </si>
  <si>
    <t>katherine vergara</t>
  </si>
  <si>
    <t>Luis Miranda</t>
  </si>
  <si>
    <t>Alfredo Saavedra</t>
  </si>
  <si>
    <t>Camila Araya</t>
  </si>
  <si>
    <t>adrian figueroa</t>
  </si>
  <si>
    <t>ML:11</t>
  </si>
  <si>
    <t>ML: 11</t>
  </si>
  <si>
    <t>ML: 9</t>
  </si>
  <si>
    <t>ML: 10</t>
  </si>
  <si>
    <t>ML: 12</t>
  </si>
  <si>
    <t>ML:12</t>
  </si>
  <si>
    <t>JavaScript Moderno (ES2024+, Closures, Event Loop, Async)</t>
  </si>
  <si>
    <t>TypeScript Avanzado (Generics, Utility Types, Decorators)</t>
  </si>
  <si>
    <t>HTML5 Semántico &amp; Accesibilidad Web (WCAG)</t>
  </si>
  <si>
    <t>CSS Moderno (Flexbox, Grid, Container Queries, Nesting)</t>
  </si>
  <si>
    <t>Angular (Signals, Standalone, SSR, Control Flow)</t>
  </si>
  <si>
    <t>React (Hooks, Server Components, Suspense)</t>
  </si>
  <si>
    <t>Next.js (App Router, SSR/SSG/ISR, Middleware)</t>
  </si>
  <si>
    <t>Vue.js / Nuxt (Composition API, Reactivity)</t>
  </si>
  <si>
    <t>Astro (Islands Architecture, Content Collections)</t>
  </si>
  <si>
    <t>Web Components / Custom Elements</t>
  </si>
  <si>
    <t>React Native / Expo</t>
  </si>
  <si>
    <t>Ionic / Capacitor</t>
  </si>
  <si>
    <t>Arquitectura Hexagonal / Clean Architecture Frontend</t>
  </si>
  <si>
    <t>Microfrontends (Module Federation, Single-SPA)</t>
  </si>
  <si>
    <t>State Management (NgRx, Zustand, Pinia, Signals)</t>
  </si>
  <si>
    <t>Design Systems &amp; Component Libraries</t>
  </si>
  <si>
    <t>Monorepos (Nx, Turborepo)</t>
  </si>
  <si>
    <t>Patrones de Diseño (Observer, Strategy, Factory en JS/TS)</t>
  </si>
  <si>
    <t>TailwindCSS / CSS-in-JS</t>
  </si>
  <si>
    <t>Angular Material / Bootstrap / UI Component Libs</t>
  </si>
  <si>
    <t>Responsive Design &amp; Mobile First</t>
  </si>
  <si>
    <t>NestJS (Módulos, Guards, Interceptors, Pipes)</t>
  </si>
  <si>
    <t>Express.js / Fastify</t>
  </si>
  <si>
    <t>APIs REST (Diseño, Versionamiento, Documentación)</t>
  </si>
  <si>
    <t>GraphQL (Apollo, Schema Design)</t>
  </si>
  <si>
    <t>WebSockets / Socket.io (Comunicación Real-Time)</t>
  </si>
  <si>
    <t>Message Brokers (RabbitMQ, Redis)</t>
  </si>
  <si>
    <t>Testing Unitario (Jest, Vitest, Jasmine/Karma)</t>
  </si>
  <si>
    <t>Testing E2E (Cypress, Playwright)</t>
  </si>
  <si>
    <t>Principios SOLID &amp; Clean Code</t>
  </si>
  <si>
    <t>CI/CD (GitHub Actions, Azure DevOps, Jenkins)</t>
  </si>
  <si>
    <t>Docker &amp; Containerización</t>
  </si>
  <si>
    <t>Cloud Deployment (Azure, AWS, Vercel)</t>
  </si>
  <si>
    <t>Performance &amp; Core Web Vitals</t>
  </si>
  <si>
    <t>AI Coding Assistants (Claude Code, Copilot, Cursor)</t>
  </si>
  <si>
    <t>Prompt Engineering para Desarrollo</t>
  </si>
  <si>
    <t>MCP Servers &amp; Agentes IA para SDLC</t>
  </si>
  <si>
    <t>GenAI Integration en Apps (LLM APIs, RAG, Chatbots)</t>
  </si>
  <si>
    <t>Gemini Code Assist / GenWizard (Herramientas Accenture)</t>
  </si>
  <si>
    <t>Git Avanzado (Branching Strategies, Conventional Commits)</t>
  </si>
  <si>
    <t>Documentación Técnica (ADRs, PlantUML, Diagramas C4)</t>
  </si>
  <si>
    <t>Seguridad Web (OWASP Top 10, CSP, XSS, CSRF)</t>
  </si>
  <si>
    <t>Metodologías Ágiles (Scrum, Kanban, Story Writing)</t>
  </si>
  <si>
    <t>Observabilidad &amp; Logging (Datadog, Sentry, ELK)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</si>
</sst>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d/m/yyyy"/>
    <numFmt numFmtId="166" formatCode="_ * #,##0.00_ ;_ * \-#,##0.00_ ;_ * &quot;-&quot;_ ;_ @_ 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7F7F7F"/>
      <name val="Arial Narrow"/>
      <family val="2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9"/>
      <color theme="1" tint="0.34998626667073579"/>
      <name val="Graphik"/>
      <family val="2"/>
    </font>
    <font>
      <sz val="8"/>
      <name val="Graphik"/>
      <family val="2"/>
    </font>
    <font>
      <b/>
      <sz val="10"/>
      <name val="Calibri"/>
      <family val="2"/>
      <scheme val="minor"/>
    </font>
    <font>
      <b/>
      <sz val="9"/>
      <color theme="1" tint="0.34998626667073579"/>
      <name val="Graphik"/>
      <family val="2"/>
    </font>
    <font>
      <sz val="12"/>
      <color theme="1" tint="0.499984740745262"/>
      <name val="Calibri"/>
      <family val="2"/>
      <scheme val="minor"/>
    </font>
    <font>
      <sz val="8"/>
      <color theme="0"/>
      <name val="Graphik"/>
      <family val="2"/>
    </font>
    <font>
      <sz val="10"/>
      <color rgb="FF262626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8"/>
      <color theme="5" tint="-0.249977111117893"/>
      <name val="Graphi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00080"/>
        <bgColor rgb="FF8496B0"/>
      </patternFill>
    </fill>
    <fill>
      <patternFill patternType="solid">
        <fgColor rgb="FF80008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DFFFF"/>
        <bgColor rgb="FFFFFF8B"/>
      </patternFill>
    </fill>
    <fill>
      <patternFill patternType="solid">
        <fgColor rgb="FFCDFFFF"/>
        <bgColor indexed="64"/>
      </patternFill>
    </fill>
    <fill>
      <patternFill patternType="solid">
        <fgColor rgb="FF8FFFFF"/>
        <bgColor indexed="64"/>
      </patternFill>
    </fill>
    <fill>
      <patternFill patternType="solid">
        <fgColor theme="0" tint="-0.14999847407452621"/>
        <bgColor rgb="FFD6DCE4"/>
      </patternFill>
    </fill>
    <fill>
      <patternFill patternType="solid">
        <fgColor rgb="FFFFB4FF"/>
        <bgColor indexed="64"/>
      </patternFill>
    </fill>
    <fill>
      <patternFill patternType="solid">
        <fgColor rgb="FFFFB4FF"/>
        <bgColor rgb="FFB3F54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F2F2F2"/>
      </patternFill>
    </fill>
  </fills>
  <borders count="6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rgb="FFD8D8D8"/>
      </right>
      <top style="thin">
        <color indexed="64"/>
      </top>
      <bottom style="thin">
        <color indexed="64"/>
      </bottom>
      <diagonal/>
    </border>
    <border>
      <left/>
      <right style="dotted">
        <color rgb="FFBFBFBF"/>
      </right>
      <top/>
      <bottom style="dotted">
        <color rgb="FFBFBFBF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499984740745262"/>
      </right>
      <top style="thin">
        <color theme="1" tint="0.249977111117893"/>
      </top>
      <bottom style="dashed">
        <color theme="0" tint="-0.499984740745262"/>
      </bottom>
      <diagonal/>
    </border>
    <border>
      <left/>
      <right style="dotted">
        <color rgb="FFD8D8D8"/>
      </right>
      <top style="thin">
        <color indexed="64"/>
      </top>
      <bottom style="dashed">
        <color theme="0" tint="-0.499984740745262"/>
      </bottom>
      <diagonal/>
    </border>
    <border>
      <left style="thin">
        <color theme="1" tint="0.249977111117893"/>
      </left>
      <right style="thin">
        <color theme="1" tint="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dotted">
        <color rgb="FFBFBFBF"/>
      </right>
      <top style="dashed">
        <color theme="0" tint="-0.499984740745262"/>
      </top>
      <bottom style="dashed">
        <color theme="0" tint="-0.499984740745262"/>
      </bottom>
      <diagonal/>
    </border>
    <border>
      <left style="dotted">
        <color rgb="FFBFBFBF"/>
      </left>
      <right style="dotted">
        <color rgb="FFBFBFBF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1" tint="0.249977111117893"/>
      </left>
      <right style="thin">
        <color theme="1" tint="0.499984740745262"/>
      </right>
      <top style="dashed">
        <color theme="0" tint="-0.499984740745262"/>
      </top>
      <bottom style="thin">
        <color rgb="FF7F7F7F"/>
      </bottom>
      <diagonal/>
    </border>
    <border>
      <left/>
      <right style="dotted">
        <color rgb="FFBFBFBF"/>
      </right>
      <top style="dashed">
        <color theme="0" tint="-0.499984740745262"/>
      </top>
      <bottom style="thin">
        <color rgb="FF7F7F7F"/>
      </bottom>
      <diagonal/>
    </border>
    <border>
      <left style="dotted">
        <color rgb="FFBFBFBF"/>
      </left>
      <right style="dotted">
        <color rgb="FFBFBFBF"/>
      </right>
      <top style="dashed">
        <color theme="0" tint="-0.499984740745262"/>
      </top>
      <bottom style="thin">
        <color rgb="FF7F7F7F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dashed">
        <color theme="0" tint="-0.499984740745262"/>
      </bottom>
      <diagonal/>
    </border>
    <border>
      <left style="dotted">
        <color rgb="FFBFBFBF"/>
      </left>
      <right style="thin">
        <color theme="1" tint="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dotted">
        <color rgb="FFBFBFBF"/>
      </left>
      <right style="thin">
        <color theme="1" tint="0.499984740745262"/>
      </right>
      <top style="dashed">
        <color theme="0" tint="-0.499984740745262"/>
      </top>
      <bottom style="thin">
        <color rgb="FF7F7F7F"/>
      </bottom>
      <diagonal/>
    </border>
    <border>
      <left style="thin">
        <color theme="1" tint="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249977111117893"/>
      </top>
      <bottom style="dashed">
        <color theme="0" tint="-0.499984740745262"/>
      </bottom>
      <diagonal/>
    </border>
    <border>
      <left style="thin">
        <color theme="1" tint="0.499984740745262"/>
      </left>
      <right/>
      <top style="dashed">
        <color theme="0" tint="-0.499984740745262"/>
      </top>
      <bottom style="thin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24997711111789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499984740745262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1" tint="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dashed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indexed="64"/>
      </top>
      <bottom style="dashed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indexed="64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dashed">
        <color theme="0" tint="-0.499984740745262"/>
      </top>
      <bottom style="thin">
        <color rgb="FF7F7F7F"/>
      </bottom>
      <diagonal/>
    </border>
    <border>
      <left style="thin">
        <color theme="0" tint="-0.24994659260841701"/>
      </left>
      <right style="thin">
        <color theme="0" tint="-0.499984740745262"/>
      </right>
      <top style="dashed">
        <color theme="0" tint="-0.499984740745262"/>
      </top>
      <bottom style="thin">
        <color rgb="FF7F7F7F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499984740745262"/>
      </bottom>
      <diagonal/>
    </border>
    <border>
      <left/>
      <right/>
      <top style="thin">
        <color theme="1" tint="0.249977111117893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249977111117893"/>
      </top>
      <bottom style="thin">
        <color theme="1" tint="0.499984740745262"/>
      </bottom>
      <diagonal/>
    </border>
    <border>
      <left/>
      <right/>
      <top/>
      <bottom style="dotted">
        <color rgb="FFBFBFBF"/>
      </bottom>
      <diagonal/>
    </border>
    <border>
      <left/>
      <right/>
      <top style="thin">
        <color theme="1" tint="0.249977111117893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 style="dotted">
        <color rgb="FFBFBFBF"/>
      </left>
      <right/>
      <top style="dotted">
        <color rgb="FFBFBFBF"/>
      </top>
      <bottom/>
      <diagonal/>
    </border>
    <border>
      <left/>
      <right style="dotted">
        <color rgb="FFBFBFBF"/>
      </right>
      <top style="dotted">
        <color rgb="FFBFBFBF"/>
      </top>
      <bottom/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 style="dotted">
        <color rgb="FFBFBFBF"/>
      </left>
      <right/>
      <top/>
      <bottom style="thin">
        <color theme="1" tint="0.249977111117893"/>
      </bottom>
      <diagonal/>
    </border>
    <border>
      <left/>
      <right style="dotted">
        <color rgb="FFBFBFBF"/>
      </right>
      <top/>
      <bottom style="thin">
        <color theme="1" tint="0.249977111117893"/>
      </bottom>
      <diagonal/>
    </border>
    <border>
      <left style="dotted">
        <color rgb="FFBFBFBF"/>
      </left>
      <right/>
      <top style="dotted">
        <color rgb="FFBFBFBF"/>
      </top>
      <bottom style="dotted">
        <color rgb="FFBFBFBF"/>
      </bottom>
      <diagonal/>
    </border>
    <border>
      <left/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thin">
        <color theme="1" tint="0.249977111117893"/>
      </left>
      <right style="thin">
        <color theme="1" tint="0.499984740745262"/>
      </right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/>
      <diagonal/>
    </border>
    <border>
      <left style="thin">
        <color theme="1" tint="0.499984740745262"/>
      </left>
      <right/>
      <top style="dashed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dashed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24994659260841701"/>
      </right>
      <top style="dashed">
        <color theme="0" tint="-0.499984740745262"/>
      </top>
      <bottom/>
      <diagonal/>
    </border>
    <border>
      <left/>
      <right style="dotted">
        <color rgb="FFBFBFBF"/>
      </right>
      <top style="dashed">
        <color theme="0" tint="-0.499984740745262"/>
      </top>
      <bottom/>
      <diagonal/>
    </border>
    <border>
      <left style="dotted">
        <color rgb="FFBFBFBF"/>
      </left>
      <right style="dotted">
        <color rgb="FFBFBFBF"/>
      </right>
      <top style="dashed">
        <color theme="0" tint="-0.499984740745262"/>
      </top>
      <bottom/>
      <diagonal/>
    </border>
    <border>
      <left style="dotted">
        <color rgb="FFBFBFBF"/>
      </left>
      <right style="thin">
        <color theme="1" tint="0.499984740745262"/>
      </right>
      <top style="dashed">
        <color theme="0" tint="-0.499984740745262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1" fillId="0" borderId="0" xfId="0" applyFont="1"/>
    <xf numFmtId="0" fontId="15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10" borderId="31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 wrapText="1"/>
    </xf>
    <xf numFmtId="0" fontId="14" fillId="0" borderId="43" xfId="0" applyFont="1" applyBorder="1" applyAlignment="1">
      <alignment wrapText="1"/>
    </xf>
    <xf numFmtId="0" fontId="14" fillId="0" borderId="0" xfId="0" applyFont="1" applyAlignment="1">
      <alignment horizontal="center" wrapText="1"/>
    </xf>
    <xf numFmtId="9" fontId="16" fillId="0" borderId="51" xfId="2" applyFont="1" applyBorder="1" applyAlignment="1" applyProtection="1">
      <alignment horizontal="center" vertical="center"/>
    </xf>
    <xf numFmtId="164" fontId="16" fillId="0" borderId="52" xfId="1" applyFont="1" applyBorder="1" applyAlignment="1" applyProtection="1">
      <alignment horizontal="left" vertical="center"/>
    </xf>
    <xf numFmtId="164" fontId="16" fillId="0" borderId="2" xfId="1" applyFont="1" applyBorder="1" applyAlignment="1" applyProtection="1">
      <alignment horizontal="center" vertical="center"/>
    </xf>
    <xf numFmtId="166" fontId="16" fillId="0" borderId="46" xfId="1" applyNumberFormat="1" applyFont="1" applyBorder="1" applyAlignment="1" applyProtection="1">
      <alignment horizontal="center" vertical="center"/>
    </xf>
    <xf numFmtId="0" fontId="22" fillId="0" borderId="43" xfId="0" applyFont="1" applyBorder="1" applyAlignment="1">
      <alignment wrapText="1"/>
    </xf>
    <xf numFmtId="9" fontId="23" fillId="0" borderId="51" xfId="2" applyFont="1" applyBorder="1" applyAlignment="1" applyProtection="1">
      <alignment horizontal="center" vertical="center"/>
    </xf>
    <xf numFmtId="164" fontId="23" fillId="0" borderId="52" xfId="1" applyFont="1" applyBorder="1" applyAlignment="1" applyProtection="1">
      <alignment horizontal="left" vertical="center"/>
    </xf>
    <xf numFmtId="0" fontId="5" fillId="0" borderId="45" xfId="0" applyFont="1" applyBorder="1" applyAlignment="1" applyProtection="1">
      <alignment horizontal="center" vertical="center"/>
      <protection locked="0"/>
    </xf>
    <xf numFmtId="0" fontId="5" fillId="0" borderId="4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12" fillId="9" borderId="32" xfId="0" applyFont="1" applyFill="1" applyBorder="1" applyAlignment="1" applyProtection="1">
      <alignment horizontal="center" vertical="center" wrapText="1"/>
      <protection locked="0"/>
    </xf>
    <xf numFmtId="0" fontId="12" fillId="9" borderId="34" xfId="0" applyFont="1" applyFill="1" applyBorder="1" applyAlignment="1" applyProtection="1">
      <alignment horizontal="center" vertical="center" wrapText="1"/>
      <protection locked="0"/>
    </xf>
    <xf numFmtId="0" fontId="12" fillId="6" borderId="33" xfId="0" applyFont="1" applyFill="1" applyBorder="1" applyAlignment="1" applyProtection="1">
      <alignment horizontal="center" vertical="center" wrapText="1"/>
      <protection locked="0"/>
    </xf>
    <xf numFmtId="0" fontId="12" fillId="6" borderId="35" xfId="0" applyFont="1" applyFill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7" fillId="3" borderId="8" xfId="0" applyFont="1" applyFill="1" applyBorder="1" applyAlignment="1">
      <alignment horizontal="left"/>
    </xf>
    <xf numFmtId="0" fontId="7" fillId="3" borderId="20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5" fillId="0" borderId="24" xfId="0" applyFont="1" applyBorder="1" applyAlignment="1" applyProtection="1">
      <alignment horizontal="left" vertical="center" wrapText="1"/>
      <protection locked="0"/>
    </xf>
    <xf numFmtId="0" fontId="5" fillId="0" borderId="26" xfId="0" applyFont="1" applyBorder="1" applyAlignment="1" applyProtection="1">
      <alignment horizontal="left" vertical="center" wrapText="1"/>
      <protection locked="0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 applyProtection="1">
      <alignment horizontal="center" vertical="center" wrapText="1"/>
      <protection locked="0"/>
    </xf>
    <xf numFmtId="0" fontId="5" fillId="0" borderId="55" xfId="0" applyFont="1" applyBorder="1" applyAlignment="1" applyProtection="1">
      <alignment horizontal="left" vertical="center" wrapText="1"/>
      <protection locked="0"/>
    </xf>
    <xf numFmtId="0" fontId="12" fillId="9" borderId="56" xfId="0" applyFont="1" applyFill="1" applyBorder="1" applyAlignment="1" applyProtection="1">
      <alignment horizontal="center" vertical="center" wrapText="1"/>
      <protection locked="0"/>
    </xf>
    <xf numFmtId="0" fontId="12" fillId="6" borderId="57" xfId="0" applyFont="1" applyFill="1" applyBorder="1" applyAlignment="1" applyProtection="1">
      <alignment horizontal="center" vertical="center" wrapText="1"/>
      <protection locked="0"/>
    </xf>
    <xf numFmtId="0" fontId="19" fillId="10" borderId="58" xfId="0" applyFont="1" applyFill="1" applyBorder="1" applyAlignment="1">
      <alignment horizontal="center" vertical="center" wrapText="1"/>
    </xf>
    <xf numFmtId="0" fontId="19" fillId="5" borderId="57" xfId="0" applyFont="1" applyFill="1" applyBorder="1" applyAlignment="1">
      <alignment horizontal="center" vertical="center" wrapText="1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60" xfId="0" applyFont="1" applyBorder="1" applyAlignment="1" applyProtection="1">
      <alignment horizontal="center" vertical="center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5" fillId="12" borderId="9" xfId="0" applyFont="1" applyFill="1" applyBorder="1" applyAlignment="1" applyProtection="1">
      <alignment horizontal="center" vertical="center" wrapText="1"/>
      <protection locked="0"/>
    </xf>
    <xf numFmtId="0" fontId="5" fillId="12" borderId="13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 applyProtection="1">
      <alignment horizontal="right" vertical="center"/>
      <protection locked="0"/>
    </xf>
    <xf numFmtId="0" fontId="2" fillId="0" borderId="0" xfId="0" applyFont="1" applyAlignment="1">
      <alignment horizontal="right" vertical="center"/>
    </xf>
    <xf numFmtId="0" fontId="5" fillId="12" borderId="20" xfId="0" applyFont="1" applyFill="1" applyBorder="1" applyAlignment="1" applyProtection="1">
      <alignment horizontal="center" vertical="center" wrapText="1"/>
      <protection locked="0"/>
    </xf>
    <xf numFmtId="0" fontId="2" fillId="8" borderId="12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 applyProtection="1">
      <alignment horizontal="center" vertical="center" wrapText="1"/>
      <protection locked="0"/>
    </xf>
    <xf numFmtId="0" fontId="5" fillId="13" borderId="9" xfId="0" applyFont="1" applyFill="1" applyBorder="1" applyAlignment="1" applyProtection="1">
      <alignment horizontal="center" vertical="center" wrapText="1"/>
      <protection locked="0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/>
    </xf>
    <xf numFmtId="0" fontId="14" fillId="0" borderId="43" xfId="0" applyFont="1" applyBorder="1" applyAlignment="1">
      <alignment horizontal="center" wrapText="1"/>
    </xf>
    <xf numFmtId="0" fontId="16" fillId="4" borderId="46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0" fontId="16" fillId="7" borderId="50" xfId="0" applyFont="1" applyFill="1" applyBorder="1" applyAlignment="1">
      <alignment horizontal="center" vertical="center"/>
    </xf>
    <xf numFmtId="0" fontId="20" fillId="11" borderId="48" xfId="0" applyFont="1" applyFill="1" applyBorder="1" applyAlignment="1">
      <alignment horizontal="center" vertical="center" wrapText="1"/>
    </xf>
    <xf numFmtId="0" fontId="20" fillId="11" borderId="10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/>
    <xf numFmtId="0" fontId="7" fillId="3" borderId="6" xfId="0" applyFont="1" applyFill="1" applyBorder="1" applyAlignment="1"/>
  </cellXfs>
  <cellStyles count="3">
    <cellStyle name="Comma [0]" xfId="1" builtinId="6"/>
    <cellStyle name="Normal" xfId="0" builtinId="0"/>
    <cellStyle name="Percent" xfId="2" builtinId="5"/>
  </cellStyles>
  <dxfs count="10">
    <dxf>
      <font>
        <color theme="2" tint="-0.499984740745262"/>
      </font>
      <numFmt numFmtId="167" formatCode=";;"/>
      <fill>
        <patternFill patternType="solid">
          <fgColor auto="1"/>
          <bgColor rgb="FFCCFFFF"/>
        </patternFill>
      </fill>
    </dxf>
    <dxf>
      <font>
        <color rgb="FF7F7F7F"/>
      </font>
      <fill>
        <patternFill patternType="solid">
          <fgColor auto="1"/>
          <bgColor rgb="FFFFB4FF"/>
        </patternFill>
      </fill>
    </dxf>
    <dxf>
      <font>
        <strike val="0"/>
      </font>
      <numFmt numFmtId="167" formatCode=";;"/>
      <fill>
        <patternFill patternType="solid">
          <fgColor auto="1"/>
          <bgColor rgb="FFFF8B8B"/>
        </patternFill>
      </fill>
    </dxf>
    <dxf>
      <font>
        <strike val="0"/>
      </font>
      <numFmt numFmtId="167" formatCode=";;"/>
      <fill>
        <patternFill patternType="solid">
          <fgColor auto="1"/>
          <bgColor rgb="FFBEE296"/>
        </patternFill>
      </fill>
    </dxf>
    <dxf>
      <fill>
        <patternFill>
          <bgColor rgb="FFFFCC00"/>
        </patternFill>
      </fill>
    </dxf>
    <dxf>
      <font>
        <color theme="2" tint="-0.499984740745262"/>
      </font>
      <numFmt numFmtId="167" formatCode=";;"/>
      <fill>
        <patternFill patternType="solid">
          <fgColor auto="1"/>
          <bgColor rgb="FFCCFFFF"/>
        </patternFill>
      </fill>
    </dxf>
    <dxf>
      <font>
        <color rgb="FF7F7F7F"/>
      </font>
      <fill>
        <patternFill patternType="solid">
          <fgColor auto="1"/>
          <bgColor rgb="FFFFB4FF"/>
        </patternFill>
      </fill>
    </dxf>
    <dxf>
      <font>
        <strike val="0"/>
      </font>
      <numFmt numFmtId="167" formatCode=";;"/>
      <fill>
        <patternFill patternType="solid">
          <fgColor auto="1"/>
          <bgColor rgb="FFFF8B8B"/>
        </patternFill>
      </fill>
    </dxf>
    <dxf>
      <font>
        <strike val="0"/>
      </font>
      <numFmt numFmtId="167" formatCode=";;"/>
      <fill>
        <patternFill patternType="solid">
          <fgColor auto="1"/>
          <bgColor rgb="FFBEE296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mruColors>
      <color rgb="FFFF0909"/>
      <color rgb="FFFF99FF"/>
      <color rgb="FFFFCC00"/>
      <color rgb="FFCDFFFF"/>
      <color rgb="FFFFB4FF"/>
      <color rgb="FFBEE296"/>
      <color rgb="FFADDB7B"/>
      <color rgb="FFFF8B8B"/>
      <color rgb="FFFFB3B3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76181</xdr:colOff>
      <xdr:row>6</xdr:row>
      <xdr:rowOff>17930</xdr:rowOff>
    </xdr:from>
    <xdr:to>
      <xdr:col>3</xdr:col>
      <xdr:colOff>333356</xdr:colOff>
      <xdr:row>7</xdr:row>
      <xdr:rowOff>6164</xdr:rowOff>
    </xdr:to>
    <xdr:pic>
      <xdr:nvPicPr>
        <xdr:cNvPr id="6" name="Graphic 5" descr="Badge with solid fill">
          <a:extLst>
            <a:ext uri="{FF2B5EF4-FFF2-40B4-BE49-F238E27FC236}">
              <a16:creationId xmlns:a16="http://schemas.microsoft.com/office/drawing/2014/main" id="{C226D3B2-0BC3-83BA-F489-D728B5CD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3005" y="1396254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4</xdr:col>
      <xdr:colOff>533343</xdr:colOff>
      <xdr:row>6</xdr:row>
      <xdr:rowOff>17930</xdr:rowOff>
    </xdr:from>
    <xdr:to>
      <xdr:col>4</xdr:col>
      <xdr:colOff>790518</xdr:colOff>
      <xdr:row>7</xdr:row>
      <xdr:rowOff>6164</xdr:rowOff>
    </xdr:to>
    <xdr:pic>
      <xdr:nvPicPr>
        <xdr:cNvPr id="10" name="Graphic 9" descr="Badge 1 with solid fill">
          <a:extLst>
            <a:ext uri="{FF2B5EF4-FFF2-40B4-BE49-F238E27FC236}">
              <a16:creationId xmlns:a16="http://schemas.microsoft.com/office/drawing/2014/main" id="{9EDA81EC-91C6-3C0D-E9A2-6057A75B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43578" y="1396254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7</xdr:col>
      <xdr:colOff>87847</xdr:colOff>
      <xdr:row>4</xdr:row>
      <xdr:rowOff>103043</xdr:rowOff>
    </xdr:from>
    <xdr:to>
      <xdr:col>8</xdr:col>
      <xdr:colOff>255994</xdr:colOff>
      <xdr:row>6</xdr:row>
      <xdr:rowOff>26843</xdr:rowOff>
    </xdr:to>
    <xdr:pic>
      <xdr:nvPicPr>
        <xdr:cNvPr id="8" name="Graphic 7" descr="Badge 3 with solid fill">
          <a:extLst>
            <a:ext uri="{FF2B5EF4-FFF2-40B4-BE49-F238E27FC236}">
              <a16:creationId xmlns:a16="http://schemas.microsoft.com/office/drawing/2014/main" id="{B9459AA8-259E-7C7E-711A-A9A5BD30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15141" y="1145190"/>
          <a:ext cx="257794" cy="259977"/>
        </a:xfrm>
        <a:prstGeom prst="rect">
          <a:avLst/>
        </a:prstGeom>
      </xdr:spPr>
    </xdr:pic>
    <xdr:clientData/>
  </xdr:twoCellAnchor>
  <xdr:twoCellAnchor editAs="oneCell">
    <xdr:from>
      <xdr:col>11</xdr:col>
      <xdr:colOff>575009</xdr:colOff>
      <xdr:row>4</xdr:row>
      <xdr:rowOff>103043</xdr:rowOff>
    </xdr:from>
    <xdr:to>
      <xdr:col>12</xdr:col>
      <xdr:colOff>5012</xdr:colOff>
      <xdr:row>6</xdr:row>
      <xdr:rowOff>26843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6FB7CAD-5714-317F-B861-C06DF5F9EDB8}"/>
            </a:ext>
          </a:extLst>
        </xdr:cNvPr>
        <xdr:cNvGrpSpPr/>
      </xdr:nvGrpSpPr>
      <xdr:grpSpPr>
        <a:xfrm>
          <a:off x="6413834" y="1131743"/>
          <a:ext cx="258678" cy="257175"/>
          <a:chOff x="3838575" y="1137486"/>
          <a:chExt cx="257175" cy="259681"/>
        </a:xfrm>
      </xdr:grpSpPr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A76D29D0-C92C-4806-8157-5B8A87E42DAC}"/>
              </a:ext>
            </a:extLst>
          </xdr:cNvPr>
          <xdr:cNvSpPr/>
        </xdr:nvSpPr>
        <xdr:spPr>
          <a:xfrm>
            <a:off x="3876173" y="1182604"/>
            <a:ext cx="177512" cy="168853"/>
          </a:xfrm>
          <a:prstGeom prst="ellipse">
            <a:avLst/>
          </a:prstGeom>
          <a:solidFill>
            <a:sysClr val="window" lastClr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pic>
        <xdr:nvPicPr>
          <xdr:cNvPr id="4" name="Graphic 3" descr="Badge 4 with solid fill">
            <a:extLst>
              <a:ext uri="{FF2B5EF4-FFF2-40B4-BE49-F238E27FC236}">
                <a16:creationId xmlns:a16="http://schemas.microsoft.com/office/drawing/2014/main" id="{11DD33C7-FB5A-4A2A-ACFB-200AEA9A28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838575" y="1137486"/>
            <a:ext cx="257175" cy="25968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76181</xdr:colOff>
      <xdr:row>6</xdr:row>
      <xdr:rowOff>17930</xdr:rowOff>
    </xdr:from>
    <xdr:to>
      <xdr:col>3</xdr:col>
      <xdr:colOff>333356</xdr:colOff>
      <xdr:row>7</xdr:row>
      <xdr:rowOff>6164</xdr:rowOff>
    </xdr:to>
    <xdr:pic>
      <xdr:nvPicPr>
        <xdr:cNvPr id="2" name="Graphic 1" descr="Badge with solid fill">
          <a:extLst>
            <a:ext uri="{FF2B5EF4-FFF2-40B4-BE49-F238E27FC236}">
              <a16:creationId xmlns:a16="http://schemas.microsoft.com/office/drawing/2014/main" id="{58DF167B-73F1-4C87-B585-93AD3FEB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5806" y="1380005"/>
          <a:ext cx="257175" cy="254934"/>
        </a:xfrm>
        <a:prstGeom prst="rect">
          <a:avLst/>
        </a:prstGeom>
      </xdr:spPr>
    </xdr:pic>
    <xdr:clientData/>
  </xdr:twoCellAnchor>
  <xdr:twoCellAnchor editAs="oneCell">
    <xdr:from>
      <xdr:col>4</xdr:col>
      <xdr:colOff>533343</xdr:colOff>
      <xdr:row>6</xdr:row>
      <xdr:rowOff>17930</xdr:rowOff>
    </xdr:from>
    <xdr:to>
      <xdr:col>4</xdr:col>
      <xdr:colOff>790518</xdr:colOff>
      <xdr:row>7</xdr:row>
      <xdr:rowOff>6164</xdr:rowOff>
    </xdr:to>
    <xdr:pic>
      <xdr:nvPicPr>
        <xdr:cNvPr id="3" name="Graphic 2" descr="Badge 1 with solid fill">
          <a:extLst>
            <a:ext uri="{FF2B5EF4-FFF2-40B4-BE49-F238E27FC236}">
              <a16:creationId xmlns:a16="http://schemas.microsoft.com/office/drawing/2014/main" id="{AAA20513-0B0A-4E16-B521-E482C4C99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43018" y="1380005"/>
          <a:ext cx="257175" cy="254934"/>
        </a:xfrm>
        <a:prstGeom prst="rect">
          <a:avLst/>
        </a:prstGeom>
      </xdr:spPr>
    </xdr:pic>
    <xdr:clientData/>
  </xdr:twoCellAnchor>
  <xdr:twoCellAnchor editAs="oneCell">
    <xdr:from>
      <xdr:col>7</xdr:col>
      <xdr:colOff>87847</xdr:colOff>
      <xdr:row>4</xdr:row>
      <xdr:rowOff>103043</xdr:rowOff>
    </xdr:from>
    <xdr:to>
      <xdr:col>8</xdr:col>
      <xdr:colOff>255994</xdr:colOff>
      <xdr:row>6</xdr:row>
      <xdr:rowOff>26843</xdr:rowOff>
    </xdr:to>
    <xdr:pic>
      <xdr:nvPicPr>
        <xdr:cNvPr id="4" name="Graphic 3" descr="Badge 3 with solid fill">
          <a:extLst>
            <a:ext uri="{FF2B5EF4-FFF2-40B4-BE49-F238E27FC236}">
              <a16:creationId xmlns:a16="http://schemas.microsoft.com/office/drawing/2014/main" id="{492DD377-0C37-4318-A572-709537E2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16947" y="1131743"/>
          <a:ext cx="253872" cy="257175"/>
        </a:xfrm>
        <a:prstGeom prst="rect">
          <a:avLst/>
        </a:prstGeom>
      </xdr:spPr>
    </xdr:pic>
    <xdr:clientData/>
  </xdr:twoCellAnchor>
  <xdr:twoCellAnchor editAs="oneCell">
    <xdr:from>
      <xdr:col>11</xdr:col>
      <xdr:colOff>575009</xdr:colOff>
      <xdr:row>4</xdr:row>
      <xdr:rowOff>103043</xdr:rowOff>
    </xdr:from>
    <xdr:to>
      <xdr:col>12</xdr:col>
      <xdr:colOff>5012</xdr:colOff>
      <xdr:row>6</xdr:row>
      <xdr:rowOff>26843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9B204FD-3133-4858-A14E-31DE6132D5E1}"/>
            </a:ext>
          </a:extLst>
        </xdr:cNvPr>
        <xdr:cNvGrpSpPr/>
      </xdr:nvGrpSpPr>
      <xdr:grpSpPr>
        <a:xfrm>
          <a:off x="6413834" y="1131743"/>
          <a:ext cx="258678" cy="257175"/>
          <a:chOff x="3838575" y="1137486"/>
          <a:chExt cx="257175" cy="259681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A49EA5F-AEEF-7D8C-AD9F-0876AC52F549}"/>
              </a:ext>
            </a:extLst>
          </xdr:cNvPr>
          <xdr:cNvSpPr/>
        </xdr:nvSpPr>
        <xdr:spPr>
          <a:xfrm>
            <a:off x="3876173" y="1182604"/>
            <a:ext cx="177512" cy="168853"/>
          </a:xfrm>
          <a:prstGeom prst="ellipse">
            <a:avLst/>
          </a:prstGeom>
          <a:solidFill>
            <a:sysClr val="window" lastClr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  <xdr:pic>
        <xdr:nvPicPr>
          <xdr:cNvPr id="7" name="Graphic 6" descr="Badge 4 with solid fill">
            <a:extLst>
              <a:ext uri="{FF2B5EF4-FFF2-40B4-BE49-F238E27FC236}">
                <a16:creationId xmlns:a16="http://schemas.microsoft.com/office/drawing/2014/main" id="{4D99D653-D04C-E48D-78AD-70A4F81C9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838575" y="1137486"/>
            <a:ext cx="257175" cy="25968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6C90-5624-407C-A97D-65C511EBD6B2}">
  <sheetPr>
    <tabColor rgb="FFFFFF00"/>
  </sheetPr>
  <dimension ref="A1:AN1020"/>
  <sheetViews>
    <sheetView showGridLines="0" zoomScale="90" zoomScaleNormal="90" workbookViewId="0">
      <pane xSplit="11" ySplit="8" topLeftCell="L9" activePane="bottomRight" state="frozen"/>
      <selection pane="bottomRight" activeCell="P13" sqref="P13"/>
      <selection pane="bottomLeft" activeCell="A8" sqref="A8"/>
      <selection pane="topRight" activeCell="K1" sqref="K1"/>
    </sheetView>
  </sheetViews>
  <sheetFormatPr defaultColWidth="14.42578125" defaultRowHeight="15" customHeight="1"/>
  <cols>
    <col min="1" max="1" width="3.7109375" style="8" customWidth="1"/>
    <col min="2" max="2" width="4.7109375" customWidth="1"/>
    <col min="3" max="3" width="3.7109375" customWidth="1"/>
    <col min="4" max="4" width="6" customWidth="1"/>
    <col min="5" max="5" width="36.28515625" customWidth="1"/>
    <col min="6" max="6" width="1.28515625" style="8" customWidth="1"/>
    <col min="7" max="7" width="7.7109375" customWidth="1"/>
    <col min="8" max="8" width="1.28515625" style="8" customWidth="1"/>
    <col min="9" max="9" width="7.42578125" customWidth="1"/>
    <col min="10" max="11" width="7.7109375" customWidth="1"/>
    <col min="12" max="31" width="12.42578125" customWidth="1"/>
    <col min="32" max="34" width="11.140625" customWidth="1"/>
    <col min="35" max="40" width="10.7109375" customWidth="1"/>
  </cols>
  <sheetData>
    <row r="1" spans="1:40" ht="31.5" customHeight="1">
      <c r="A1" s="7"/>
      <c r="B1" s="12" t="s">
        <v>0</v>
      </c>
      <c r="C1" s="12"/>
      <c r="D1" s="12"/>
      <c r="E1" s="2"/>
      <c r="F1" s="2"/>
      <c r="G1" s="2"/>
      <c r="H1" s="9"/>
      <c r="I1" s="9"/>
      <c r="J1" s="87" t="s">
        <v>1</v>
      </c>
      <c r="K1" s="87"/>
      <c r="L1" s="26" t="s">
        <v>2</v>
      </c>
      <c r="M1" s="27"/>
      <c r="N1" s="28" t="s">
        <v>3</v>
      </c>
      <c r="O1" s="19"/>
      <c r="P1" s="33" t="s">
        <v>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customHeight="1">
      <c r="A2" s="7"/>
      <c r="B2" s="1"/>
      <c r="C2" s="1"/>
      <c r="D2" s="1"/>
      <c r="E2" s="71"/>
      <c r="F2" s="9"/>
      <c r="G2" s="3"/>
      <c r="H2" s="9"/>
      <c r="I2" s="9"/>
      <c r="J2" s="88" t="s">
        <v>5</v>
      </c>
      <c r="K2" s="89"/>
      <c r="L2" s="29">
        <f>COUNTIF($F$9:$F$38,"&lt;=0")/COUNTIF($G$9:$G$38,"&lt;&gt;")</f>
        <v>0.5</v>
      </c>
      <c r="M2" s="30" t="str">
        <f>COUNTIF($F$9:$F$38,"&lt;=0") &amp;" de "&amp; COUNTIF($G$9:$G$38,"&lt;&gt;") &amp;" Temas"</f>
        <v>4 de 8 Temas</v>
      </c>
      <c r="N2" s="31" t="str">
        <f>SUMIF($F$9:$F$38,"&gt;=0") &amp;" nivel "&amp;J2</f>
        <v>10 nivel Experto</v>
      </c>
      <c r="P2" s="34">
        <f>COUNTIFS($F$9:$F$38,"&lt;=0",$D$9:$D$38,"Sí")/COUNTIFS($G$9:$G$38,"&lt;&gt;",$D$9:$D$38,"Sí")</f>
        <v>0.5</v>
      </c>
      <c r="Q2" s="35" t="str">
        <f>COUNTIFS($F$9:$F$38,"&lt;=0",$D$9:$D$38,"Sí") &amp;" de "&amp; COUNTIFS($G$9:$G$38,"&lt;&gt;",$D$9:$D$38,"Sí") &amp;" Temas"</f>
        <v>2 de 4 Temas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6.5" customHeight="1">
      <c r="A3" s="7"/>
      <c r="B3" s="10" t="s">
        <v>6</v>
      </c>
      <c r="C3" s="1"/>
      <c r="D3" s="50"/>
      <c r="E3" s="72"/>
      <c r="F3" s="13"/>
      <c r="G3" s="51"/>
      <c r="H3" s="13"/>
      <c r="I3" s="9"/>
      <c r="J3" s="90" t="s">
        <v>7</v>
      </c>
      <c r="K3" s="91"/>
      <c r="L3" s="29">
        <f>COUNTIF($H$9:$H$38,"&lt;=0")/COUNTIF($I$9:$I$38,"&lt;&gt;")</f>
        <v>0.5</v>
      </c>
      <c r="M3" s="30" t="str">
        <f>COUNTIF($H$9:$H$38,"&lt;=0") &amp;" de "&amp; COUNTIF($I$9:$I$38,"&lt;&gt;") &amp;" Temas"</f>
        <v>4 de 8 Temas</v>
      </c>
      <c r="N3" s="31" t="str">
        <f>SUMIF($H$9:$H$38,"&gt;=0") &amp;" nivel "&amp;J3</f>
        <v>6 nivel General</v>
      </c>
      <c r="P3" s="34">
        <f>COUNTIFS($H$9:$H$38,"&lt;=0",$D$9:$D$38,"Sí")/COUNTIFS($I$9:$I$38,"&lt;&gt;",$D$9:$D$38,"Sí")</f>
        <v>0.75</v>
      </c>
      <c r="Q3" s="35" t="str">
        <f>COUNTIFS($H$9:$H$38,"&lt;=0",$D$9:$D$38,"Sí") &amp;" de "&amp; COUNTIFS($I$9:$I$38,"&lt;&gt;",$D$9:$D$38,"Sí") &amp;" Temas"</f>
        <v>3 de 4 Temas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6.5" customHeight="1">
      <c r="A4" s="7"/>
      <c r="B4" s="10"/>
      <c r="C4" s="1"/>
      <c r="D4" s="56" t="s">
        <v>8</v>
      </c>
      <c r="E4" s="71"/>
      <c r="F4" s="9"/>
      <c r="G4" s="17"/>
      <c r="H4" s="9"/>
      <c r="I4" s="9"/>
      <c r="J4" s="92" t="s">
        <v>9</v>
      </c>
      <c r="K4" s="93"/>
      <c r="L4" s="29">
        <f>COUNTIFS($F$9:$F$38,"&lt;=0",$H$9:$H$38,"&lt;=0") / COUNTIFS($E$9:$E$38,"&lt;&gt;",$G$9:$G$38,"&lt;&gt;",$I$9:$I$38,"&lt;&gt;")</f>
        <v>0.375</v>
      </c>
      <c r="M4" s="30" t="str">
        <f>COUNTIFS($F$9:$F$38,"&lt;=0",$H$9:$H$38,"&lt;=0") &amp;" de "&amp; COUNTIFS($E$9:$E$38,"&lt;&gt;",$G$9:$G$38,"&lt;&gt;",$I$9:$I$38,"&lt;&gt;") &amp;" Temas"</f>
        <v>3 de 8 Temas</v>
      </c>
      <c r="N4" s="32"/>
      <c r="P4" s="34">
        <f>COUNTIFS($F$9:$F$38,"&lt;=0",$H$9:$H$38,"&lt;=0",$D$9:$D$38,"Sí") / COUNTIFS($E$9:$E$38,"&lt;&gt;",$D$9:$D$38,"Sí",$G$9:$G$38,"&lt;&gt;",$I$9:$I$38,"&lt;&gt;")</f>
        <v>0.5</v>
      </c>
      <c r="Q4" s="35" t="str">
        <f>COUNTIFS($F$9:$F$38,"&lt;=0",$H$9:$H$38,"&lt;=0",$D$9:$D$38,"Sí") &amp;" de "&amp; COUNTIFS($E$9:$E$38,"&lt;&gt;",$D$9:$D$38,"Sí",$G$9:$G$38,"&lt;&gt;",$I$9:$I$38,"&lt;&gt;") &amp;" Temas"</f>
        <v>2 de 4 Temas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1.25" customHeight="1">
      <c r="A5" s="7"/>
      <c r="B5" s="1"/>
      <c r="C5" s="1"/>
      <c r="D5" s="1"/>
      <c r="E5" s="73"/>
      <c r="F5" s="9"/>
      <c r="G5" s="3"/>
      <c r="H5" s="9"/>
      <c r="I5" s="9"/>
      <c r="J5" s="3"/>
      <c r="K5" s="9"/>
      <c r="L5" s="9"/>
      <c r="M5" s="9"/>
      <c r="N5" s="9"/>
      <c r="O5" s="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7"/>
      <c r="B6" s="1"/>
      <c r="C6" s="1"/>
      <c r="D6" s="1"/>
      <c r="E6" s="73"/>
      <c r="F6" s="6"/>
      <c r="G6" s="3"/>
      <c r="J6" s="3"/>
      <c r="L6" s="54"/>
      <c r="M6" s="55"/>
      <c r="N6" s="55" t="s">
        <v>10</v>
      </c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1"/>
      <c r="AG6" s="1"/>
      <c r="AH6" s="1"/>
      <c r="AI6" s="1"/>
      <c r="AJ6" s="1"/>
      <c r="AK6" s="1"/>
      <c r="AL6" s="1"/>
      <c r="AM6" s="1"/>
      <c r="AN6" s="1"/>
    </row>
    <row r="7" spans="1:40" s="1" customFormat="1" ht="21" customHeight="1">
      <c r="A7" s="7"/>
      <c r="B7" s="4"/>
      <c r="C7" s="4"/>
      <c r="D7" s="18"/>
      <c r="E7" s="9"/>
      <c r="F7" s="94" t="s">
        <v>11</v>
      </c>
      <c r="G7" s="95"/>
      <c r="H7" s="95"/>
      <c r="I7" s="96"/>
      <c r="J7" s="97" t="s">
        <v>12</v>
      </c>
      <c r="K7" s="97"/>
      <c r="L7" s="69" t="s">
        <v>13</v>
      </c>
      <c r="M7" s="69" t="s">
        <v>14</v>
      </c>
      <c r="N7" s="69" t="s">
        <v>15</v>
      </c>
      <c r="O7" s="69" t="s">
        <v>16</v>
      </c>
      <c r="P7" s="69" t="s">
        <v>17</v>
      </c>
      <c r="Q7" s="69" t="s">
        <v>18</v>
      </c>
      <c r="R7" s="69" t="s">
        <v>19</v>
      </c>
      <c r="S7" s="69" t="s">
        <v>20</v>
      </c>
      <c r="T7" s="69" t="s">
        <v>21</v>
      </c>
      <c r="U7" s="69" t="s">
        <v>22</v>
      </c>
      <c r="V7" s="69" t="s">
        <v>23</v>
      </c>
      <c r="W7" s="69" t="s">
        <v>24</v>
      </c>
      <c r="X7" s="69" t="s">
        <v>25</v>
      </c>
      <c r="Y7" s="69" t="s">
        <v>26</v>
      </c>
      <c r="Z7" s="69" t="s">
        <v>27</v>
      </c>
      <c r="AA7" s="69" t="s">
        <v>28</v>
      </c>
      <c r="AB7" s="69" t="s">
        <v>29</v>
      </c>
      <c r="AC7" s="69" t="s">
        <v>30</v>
      </c>
      <c r="AD7" s="69" t="s">
        <v>31</v>
      </c>
      <c r="AE7" s="74" t="s">
        <v>32</v>
      </c>
    </row>
    <row r="8" spans="1:40" ht="15" customHeight="1">
      <c r="A8" s="7"/>
      <c r="B8" s="4"/>
      <c r="C8" s="75" t="s">
        <v>33</v>
      </c>
      <c r="D8" s="76" t="s">
        <v>34</v>
      </c>
      <c r="E8" s="77" t="s">
        <v>35</v>
      </c>
      <c r="F8" s="82" t="str">
        <f>$J$2</f>
        <v>Experto</v>
      </c>
      <c r="G8" s="83"/>
      <c r="H8" s="84" t="str">
        <f>$J$3</f>
        <v>General</v>
      </c>
      <c r="I8" s="85"/>
      <c r="J8" s="78" t="str">
        <f>$J$2</f>
        <v>Experto</v>
      </c>
      <c r="K8" s="79" t="str">
        <f>$J$3</f>
        <v>General</v>
      </c>
      <c r="L8" s="70" t="s">
        <v>36</v>
      </c>
      <c r="M8" s="70" t="s">
        <v>36</v>
      </c>
      <c r="N8" s="70" t="s">
        <v>36</v>
      </c>
      <c r="O8" s="70" t="s">
        <v>36</v>
      </c>
      <c r="P8" s="70" t="s">
        <v>36</v>
      </c>
      <c r="Q8" s="70" t="s">
        <v>36</v>
      </c>
      <c r="R8" s="70" t="s">
        <v>36</v>
      </c>
      <c r="S8" s="70" t="s">
        <v>36</v>
      </c>
      <c r="T8" s="70" t="s">
        <v>36</v>
      </c>
      <c r="U8" s="70" t="s">
        <v>36</v>
      </c>
      <c r="V8" s="70" t="s">
        <v>36</v>
      </c>
      <c r="W8" s="70" t="s">
        <v>36</v>
      </c>
      <c r="X8" s="70" t="s">
        <v>36</v>
      </c>
      <c r="Y8" s="70" t="s">
        <v>36</v>
      </c>
      <c r="Z8" s="70" t="s">
        <v>36</v>
      </c>
      <c r="AA8" s="70" t="s">
        <v>36</v>
      </c>
      <c r="AB8" s="70" t="s">
        <v>36</v>
      </c>
      <c r="AC8" s="70" t="s">
        <v>36</v>
      </c>
      <c r="AD8" s="70" t="s">
        <v>36</v>
      </c>
      <c r="AE8" s="80" t="s">
        <v>36</v>
      </c>
      <c r="AF8" s="1"/>
      <c r="AG8" s="1"/>
      <c r="AH8" s="1"/>
      <c r="AI8" s="1"/>
      <c r="AJ8" s="1"/>
      <c r="AK8" s="1"/>
      <c r="AL8" s="1"/>
      <c r="AM8" s="1"/>
      <c r="AN8" s="1"/>
    </row>
    <row r="9" spans="1:40" ht="23.25" customHeight="1">
      <c r="A9" s="7"/>
      <c r="B9" s="86" t="s">
        <v>37</v>
      </c>
      <c r="C9" s="14">
        <v>1</v>
      </c>
      <c r="D9" s="36" t="s">
        <v>38</v>
      </c>
      <c r="E9" s="57" t="s">
        <v>39</v>
      </c>
      <c r="F9" s="20">
        <f>IF($E9&lt;&gt;"",G9-J9,"")</f>
        <v>0</v>
      </c>
      <c r="G9" s="39">
        <v>1</v>
      </c>
      <c r="H9" s="21">
        <f>IF($E9&lt;&gt;"",I9-K9,"")</f>
        <v>-5</v>
      </c>
      <c r="I9" s="41">
        <v>3</v>
      </c>
      <c r="J9" s="22">
        <f>IF($E9&lt;&gt;"",COUNTIF($L9:$AE9,$J$8),"")</f>
        <v>1</v>
      </c>
      <c r="K9" s="23">
        <f>IF($E9&lt;&gt;"",COUNTIF($L9:$AE9,$K$8),"")</f>
        <v>8</v>
      </c>
      <c r="L9" s="43" t="s">
        <v>7</v>
      </c>
      <c r="M9" s="44" t="s">
        <v>7</v>
      </c>
      <c r="N9" s="44" t="s">
        <v>5</v>
      </c>
      <c r="O9" s="44" t="s">
        <v>7</v>
      </c>
      <c r="P9" s="44" t="s">
        <v>7</v>
      </c>
      <c r="Q9" s="44" t="s">
        <v>7</v>
      </c>
      <c r="R9" s="44" t="s">
        <v>7</v>
      </c>
      <c r="S9" s="44" t="s">
        <v>7</v>
      </c>
      <c r="T9" s="44" t="s">
        <v>7</v>
      </c>
      <c r="U9" s="44"/>
      <c r="V9" s="44"/>
      <c r="W9" s="44"/>
      <c r="X9" s="44"/>
      <c r="Y9" s="44"/>
      <c r="Z9" s="44"/>
      <c r="AA9" s="44"/>
      <c r="AB9" s="44"/>
      <c r="AC9" s="44"/>
      <c r="AD9" s="44"/>
      <c r="AE9" s="45"/>
      <c r="AF9" s="1"/>
      <c r="AH9" s="1"/>
      <c r="AI9" s="1"/>
      <c r="AJ9" s="1"/>
      <c r="AK9" s="1"/>
      <c r="AL9" s="1"/>
      <c r="AM9" s="1"/>
      <c r="AN9" s="1"/>
    </row>
    <row r="10" spans="1:40" ht="23.25" customHeight="1">
      <c r="A10" s="7"/>
      <c r="B10" s="98"/>
      <c r="C10" s="15">
        <v>2</v>
      </c>
      <c r="D10" s="37"/>
      <c r="E10" s="57" t="s">
        <v>40</v>
      </c>
      <c r="F10" s="20">
        <f t="shared" ref="F10:F38" si="0">IF($E10&lt;&gt;"",G10-J10,"")</f>
        <v>2</v>
      </c>
      <c r="G10" s="39">
        <v>3</v>
      </c>
      <c r="H10" s="21">
        <f t="shared" ref="H10:H38" si="1">IF($E10&lt;&gt;"",I10-K10,"")</f>
        <v>1</v>
      </c>
      <c r="I10" s="41">
        <v>3</v>
      </c>
      <c r="J10" s="22">
        <f>IF($E10&lt;&gt;"",COUNTIF($L10:$AE10,$J$8),"")</f>
        <v>1</v>
      </c>
      <c r="K10" s="23">
        <f>IF($E10&lt;&gt;"",COUNTIF($L10:$AE10,$K$8),"")</f>
        <v>2</v>
      </c>
      <c r="L10" s="46" t="s">
        <v>5</v>
      </c>
      <c r="M10" s="44"/>
      <c r="N10" s="44" t="s">
        <v>7</v>
      </c>
      <c r="O10" s="44" t="s">
        <v>7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/>
      <c r="AF10" s="1"/>
      <c r="AH10" s="1"/>
      <c r="AI10" s="1"/>
      <c r="AJ10" s="1"/>
      <c r="AK10" s="1"/>
      <c r="AL10" s="1"/>
      <c r="AM10" s="1"/>
      <c r="AN10" s="1"/>
    </row>
    <row r="11" spans="1:40" ht="23.25" customHeight="1">
      <c r="A11" s="7"/>
      <c r="B11" s="98"/>
      <c r="C11" s="14">
        <v>3</v>
      </c>
      <c r="D11" s="36" t="s">
        <v>38</v>
      </c>
      <c r="E11" s="57" t="s">
        <v>41</v>
      </c>
      <c r="F11" s="20">
        <f t="shared" si="0"/>
        <v>3</v>
      </c>
      <c r="G11" s="39">
        <v>5</v>
      </c>
      <c r="H11" s="21">
        <f t="shared" si="1"/>
        <v>1</v>
      </c>
      <c r="I11" s="41">
        <v>1</v>
      </c>
      <c r="J11" s="22">
        <f t="shared" ref="J11:J18" si="2">IF($E11&lt;&gt;"",COUNTIF($L11:$AE11,$J$8),"")</f>
        <v>2</v>
      </c>
      <c r="K11" s="23">
        <f t="shared" ref="K11:K17" si="3">IF($E11&lt;&gt;"",COUNTIF($L11:$AE11,$K$8),"")</f>
        <v>0</v>
      </c>
      <c r="L11" s="46" t="s">
        <v>5</v>
      </c>
      <c r="M11" s="44" t="s">
        <v>5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5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23.25" customHeight="1">
      <c r="A12" s="7"/>
      <c r="B12" s="98"/>
      <c r="C12" s="15">
        <v>4</v>
      </c>
      <c r="D12" s="37" t="s">
        <v>38</v>
      </c>
      <c r="E12" s="57" t="s">
        <v>42</v>
      </c>
      <c r="F12" s="20">
        <f t="shared" si="0"/>
        <v>0</v>
      </c>
      <c r="G12" s="39">
        <v>2</v>
      </c>
      <c r="H12" s="21">
        <f t="shared" si="1"/>
        <v>-1</v>
      </c>
      <c r="I12" s="41">
        <v>1</v>
      </c>
      <c r="J12" s="22">
        <f t="shared" si="2"/>
        <v>2</v>
      </c>
      <c r="K12" s="23">
        <f t="shared" si="3"/>
        <v>2</v>
      </c>
      <c r="L12" s="46" t="s">
        <v>5</v>
      </c>
      <c r="M12" s="44" t="s">
        <v>5</v>
      </c>
      <c r="N12" s="44" t="s">
        <v>7</v>
      </c>
      <c r="O12" s="44" t="s">
        <v>7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5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23.25" customHeight="1">
      <c r="A13" s="7"/>
      <c r="B13" s="98"/>
      <c r="C13" s="14">
        <v>5</v>
      </c>
      <c r="D13" s="36" t="s">
        <v>38</v>
      </c>
      <c r="E13" s="57" t="s">
        <v>43</v>
      </c>
      <c r="F13" s="20">
        <f t="shared" si="0"/>
        <v>1</v>
      </c>
      <c r="G13" s="39">
        <v>2</v>
      </c>
      <c r="H13" s="21">
        <f t="shared" si="1"/>
        <v>0</v>
      </c>
      <c r="I13" s="41">
        <v>1</v>
      </c>
      <c r="J13" s="22">
        <f t="shared" si="2"/>
        <v>1</v>
      </c>
      <c r="K13" s="23">
        <f t="shared" si="3"/>
        <v>1</v>
      </c>
      <c r="L13" s="46" t="s">
        <v>5</v>
      </c>
      <c r="M13" s="44" t="s">
        <v>7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5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23.25" customHeight="1">
      <c r="A14" s="7"/>
      <c r="B14" s="98"/>
      <c r="C14" s="15">
        <v>6</v>
      </c>
      <c r="D14" s="37"/>
      <c r="E14" s="57" t="s">
        <v>44</v>
      </c>
      <c r="F14" s="20">
        <f t="shared" si="0"/>
        <v>-1</v>
      </c>
      <c r="G14" s="39">
        <v>1</v>
      </c>
      <c r="H14" s="21">
        <f t="shared" si="1"/>
        <v>1</v>
      </c>
      <c r="I14" s="41">
        <v>1</v>
      </c>
      <c r="J14" s="22">
        <f t="shared" si="2"/>
        <v>2</v>
      </c>
      <c r="K14" s="23">
        <f t="shared" si="3"/>
        <v>0</v>
      </c>
      <c r="L14" s="46" t="s">
        <v>5</v>
      </c>
      <c r="M14" s="44" t="s">
        <v>5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5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23.25" customHeight="1">
      <c r="A15" s="7"/>
      <c r="B15" s="98"/>
      <c r="C15" s="14">
        <v>7</v>
      </c>
      <c r="D15" s="36"/>
      <c r="E15" s="57" t="s">
        <v>45</v>
      </c>
      <c r="F15" s="20">
        <f t="shared" si="0"/>
        <v>4</v>
      </c>
      <c r="G15" s="39">
        <v>6</v>
      </c>
      <c r="H15" s="21">
        <f t="shared" si="1"/>
        <v>3</v>
      </c>
      <c r="I15" s="41">
        <v>5</v>
      </c>
      <c r="J15" s="22">
        <f t="shared" si="2"/>
        <v>2</v>
      </c>
      <c r="K15" s="23">
        <f t="shared" si="3"/>
        <v>2</v>
      </c>
      <c r="L15" s="46" t="s">
        <v>5</v>
      </c>
      <c r="M15" s="44" t="s">
        <v>5</v>
      </c>
      <c r="N15" s="44" t="s">
        <v>7</v>
      </c>
      <c r="O15" s="44" t="s">
        <v>7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5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23.25" customHeight="1">
      <c r="A16" s="7"/>
      <c r="B16" s="98"/>
      <c r="C16" s="15">
        <v>8</v>
      </c>
      <c r="D16" s="37"/>
      <c r="E16" s="57" t="s">
        <v>46</v>
      </c>
      <c r="F16" s="20">
        <f t="shared" si="0"/>
        <v>-1</v>
      </c>
      <c r="G16" s="39">
        <v>1</v>
      </c>
      <c r="H16" s="21">
        <f t="shared" si="1"/>
        <v>-1</v>
      </c>
      <c r="I16" s="41">
        <v>1</v>
      </c>
      <c r="J16" s="22">
        <f t="shared" si="2"/>
        <v>2</v>
      </c>
      <c r="K16" s="23">
        <f t="shared" si="3"/>
        <v>2</v>
      </c>
      <c r="L16" s="46" t="s">
        <v>7</v>
      </c>
      <c r="M16" s="44" t="s">
        <v>7</v>
      </c>
      <c r="N16" s="44" t="s">
        <v>5</v>
      </c>
      <c r="O16" s="44" t="s">
        <v>5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5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23.25" customHeight="1">
      <c r="A17" s="7"/>
      <c r="B17" s="98"/>
      <c r="C17" s="14">
        <v>9</v>
      </c>
      <c r="D17" s="36"/>
      <c r="E17" s="57"/>
      <c r="F17" s="20" t="str">
        <f t="shared" si="0"/>
        <v/>
      </c>
      <c r="G17" s="39"/>
      <c r="H17" s="21" t="str">
        <f t="shared" si="1"/>
        <v/>
      </c>
      <c r="I17" s="41"/>
      <c r="J17" s="22" t="str">
        <f t="shared" si="2"/>
        <v/>
      </c>
      <c r="K17" s="23" t="str">
        <f t="shared" si="3"/>
        <v/>
      </c>
      <c r="L17" s="46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5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23.25" customHeight="1">
      <c r="A18" s="7"/>
      <c r="B18" s="98"/>
      <c r="C18" s="14">
        <v>10</v>
      </c>
      <c r="D18" s="36"/>
      <c r="E18" s="57"/>
      <c r="F18" s="20" t="str">
        <f t="shared" si="0"/>
        <v/>
      </c>
      <c r="G18" s="39"/>
      <c r="H18" s="21" t="str">
        <f t="shared" si="1"/>
        <v/>
      </c>
      <c r="I18" s="41"/>
      <c r="J18" s="22" t="str">
        <f t="shared" si="2"/>
        <v/>
      </c>
      <c r="K18" s="23" t="str">
        <f t="shared" ref="K18" si="4">IF($E18&lt;&gt;"",COUNTIF($L18:$AE18,$K$8),"")</f>
        <v/>
      </c>
      <c r="L18" s="46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5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23.25" customHeight="1">
      <c r="A19" s="7"/>
      <c r="B19" s="98"/>
      <c r="C19" s="15">
        <v>11</v>
      </c>
      <c r="D19" s="37"/>
      <c r="E19" s="57"/>
      <c r="F19" s="20" t="str">
        <f t="shared" si="0"/>
        <v/>
      </c>
      <c r="G19" s="39"/>
      <c r="H19" s="21" t="str">
        <f t="shared" si="1"/>
        <v/>
      </c>
      <c r="I19" s="41"/>
      <c r="J19" s="22" t="str">
        <f t="shared" ref="J19:J38" si="5">IF($E19&lt;&gt;"",COUNTIF($L19:$AE19,$J$8),"")</f>
        <v/>
      </c>
      <c r="K19" s="23" t="str">
        <f t="shared" ref="K19:K38" si="6">IF($E19&lt;&gt;"",COUNTIF($L19:$AE19,$K$8),"")</f>
        <v/>
      </c>
      <c r="L19" s="46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5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23.25" customHeight="1">
      <c r="A20" s="7"/>
      <c r="B20" s="98"/>
      <c r="C20" s="14">
        <v>12</v>
      </c>
      <c r="D20" s="36"/>
      <c r="E20" s="57"/>
      <c r="F20" s="20" t="str">
        <f t="shared" si="0"/>
        <v/>
      </c>
      <c r="G20" s="39"/>
      <c r="H20" s="21" t="str">
        <f t="shared" si="1"/>
        <v/>
      </c>
      <c r="I20" s="41"/>
      <c r="J20" s="22" t="str">
        <f t="shared" si="5"/>
        <v/>
      </c>
      <c r="K20" s="23" t="str">
        <f t="shared" si="6"/>
        <v/>
      </c>
      <c r="L20" s="46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5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23.25" customHeight="1">
      <c r="A21" s="7"/>
      <c r="B21" s="98"/>
      <c r="C21" s="15">
        <v>13</v>
      </c>
      <c r="D21" s="37"/>
      <c r="E21" s="57"/>
      <c r="F21" s="20" t="str">
        <f t="shared" si="0"/>
        <v/>
      </c>
      <c r="G21" s="39"/>
      <c r="H21" s="21" t="str">
        <f t="shared" si="1"/>
        <v/>
      </c>
      <c r="I21" s="41"/>
      <c r="J21" s="22" t="str">
        <f t="shared" si="5"/>
        <v/>
      </c>
      <c r="K21" s="23" t="str">
        <f t="shared" si="6"/>
        <v/>
      </c>
      <c r="L21" s="46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5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23.25" customHeight="1">
      <c r="A22" s="7"/>
      <c r="B22" s="98"/>
      <c r="C22" s="14">
        <v>14</v>
      </c>
      <c r="D22" s="36"/>
      <c r="E22" s="57"/>
      <c r="F22" s="20" t="str">
        <f t="shared" si="0"/>
        <v/>
      </c>
      <c r="G22" s="39"/>
      <c r="H22" s="21" t="str">
        <f t="shared" si="1"/>
        <v/>
      </c>
      <c r="I22" s="41"/>
      <c r="J22" s="22" t="str">
        <f t="shared" si="5"/>
        <v/>
      </c>
      <c r="K22" s="23" t="str">
        <f t="shared" si="6"/>
        <v/>
      </c>
      <c r="L22" s="46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5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23.25" customHeight="1">
      <c r="A23" s="7"/>
      <c r="B23" s="98"/>
      <c r="C23" s="15">
        <v>15</v>
      </c>
      <c r="D23" s="37"/>
      <c r="E23" s="57"/>
      <c r="F23" s="20" t="str">
        <f t="shared" si="0"/>
        <v/>
      </c>
      <c r="G23" s="39"/>
      <c r="H23" s="21" t="str">
        <f t="shared" si="1"/>
        <v/>
      </c>
      <c r="I23" s="41"/>
      <c r="J23" s="22" t="str">
        <f t="shared" si="5"/>
        <v/>
      </c>
      <c r="K23" s="23" t="str">
        <f t="shared" si="6"/>
        <v/>
      </c>
      <c r="L23" s="46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5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23.25" customHeight="1">
      <c r="A24" s="7"/>
      <c r="B24" s="98"/>
      <c r="C24" s="14">
        <v>16</v>
      </c>
      <c r="D24" s="36"/>
      <c r="E24" s="57"/>
      <c r="F24" s="20" t="str">
        <f t="shared" si="0"/>
        <v/>
      </c>
      <c r="G24" s="39"/>
      <c r="H24" s="21" t="str">
        <f t="shared" si="1"/>
        <v/>
      </c>
      <c r="I24" s="41"/>
      <c r="J24" s="22" t="str">
        <f t="shared" si="5"/>
        <v/>
      </c>
      <c r="K24" s="23" t="str">
        <f t="shared" si="6"/>
        <v/>
      </c>
      <c r="L24" s="46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5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23.25" customHeight="1">
      <c r="A25" s="7"/>
      <c r="B25" s="98"/>
      <c r="C25" s="15">
        <v>17</v>
      </c>
      <c r="D25" s="37"/>
      <c r="E25" s="57"/>
      <c r="F25" s="20" t="str">
        <f t="shared" si="0"/>
        <v/>
      </c>
      <c r="G25" s="39"/>
      <c r="H25" s="21" t="str">
        <f t="shared" si="1"/>
        <v/>
      </c>
      <c r="I25" s="41"/>
      <c r="J25" s="22" t="str">
        <f t="shared" si="5"/>
        <v/>
      </c>
      <c r="K25" s="23" t="str">
        <f t="shared" si="6"/>
        <v/>
      </c>
      <c r="L25" s="46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5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23.25" customHeight="1">
      <c r="A26" s="7"/>
      <c r="B26" s="98"/>
      <c r="C26" s="14">
        <v>18</v>
      </c>
      <c r="D26" s="36"/>
      <c r="E26" s="57"/>
      <c r="F26" s="20" t="str">
        <f t="shared" si="0"/>
        <v/>
      </c>
      <c r="G26" s="39"/>
      <c r="H26" s="21" t="str">
        <f t="shared" si="1"/>
        <v/>
      </c>
      <c r="I26" s="41"/>
      <c r="J26" s="22" t="str">
        <f t="shared" si="5"/>
        <v/>
      </c>
      <c r="K26" s="23" t="str">
        <f t="shared" si="6"/>
        <v/>
      </c>
      <c r="L26" s="46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5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23.25" customHeight="1">
      <c r="A27" s="7"/>
      <c r="B27" s="98"/>
      <c r="C27" s="14">
        <v>19</v>
      </c>
      <c r="D27" s="36"/>
      <c r="E27" s="57"/>
      <c r="F27" s="20" t="str">
        <f t="shared" si="0"/>
        <v/>
      </c>
      <c r="G27" s="39"/>
      <c r="H27" s="21" t="str">
        <f t="shared" si="1"/>
        <v/>
      </c>
      <c r="I27" s="41"/>
      <c r="J27" s="22" t="str">
        <f t="shared" si="5"/>
        <v/>
      </c>
      <c r="K27" s="23" t="str">
        <f t="shared" si="6"/>
        <v/>
      </c>
      <c r="L27" s="46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5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23.25" customHeight="1">
      <c r="A28" s="7"/>
      <c r="B28" s="98"/>
      <c r="C28" s="15">
        <v>20</v>
      </c>
      <c r="D28" s="37"/>
      <c r="E28" s="57"/>
      <c r="F28" s="20" t="str">
        <f t="shared" si="0"/>
        <v/>
      </c>
      <c r="G28" s="39"/>
      <c r="H28" s="21" t="str">
        <f t="shared" si="1"/>
        <v/>
      </c>
      <c r="I28" s="41"/>
      <c r="J28" s="22" t="str">
        <f t="shared" si="5"/>
        <v/>
      </c>
      <c r="K28" s="23" t="str">
        <f t="shared" si="6"/>
        <v/>
      </c>
      <c r="L28" s="46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5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23.25" customHeight="1">
      <c r="A29" s="7"/>
      <c r="B29" s="98"/>
      <c r="C29" s="14">
        <v>21</v>
      </c>
      <c r="D29" s="36"/>
      <c r="E29" s="57"/>
      <c r="F29" s="20" t="str">
        <f t="shared" si="0"/>
        <v/>
      </c>
      <c r="G29" s="39"/>
      <c r="H29" s="21" t="str">
        <f t="shared" si="1"/>
        <v/>
      </c>
      <c r="I29" s="41"/>
      <c r="J29" s="22" t="str">
        <f t="shared" si="5"/>
        <v/>
      </c>
      <c r="K29" s="23" t="str">
        <f t="shared" si="6"/>
        <v/>
      </c>
      <c r="L29" s="46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5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23.25" customHeight="1">
      <c r="A30" s="7"/>
      <c r="B30" s="98"/>
      <c r="C30" s="15">
        <v>22</v>
      </c>
      <c r="D30" s="37"/>
      <c r="E30" s="57"/>
      <c r="F30" s="20" t="str">
        <f t="shared" si="0"/>
        <v/>
      </c>
      <c r="G30" s="39"/>
      <c r="H30" s="21" t="str">
        <f t="shared" si="1"/>
        <v/>
      </c>
      <c r="I30" s="41"/>
      <c r="J30" s="22" t="str">
        <f t="shared" si="5"/>
        <v/>
      </c>
      <c r="K30" s="23" t="str">
        <f t="shared" si="6"/>
        <v/>
      </c>
      <c r="L30" s="46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5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23.25" customHeight="1">
      <c r="A31" s="7"/>
      <c r="B31" s="98"/>
      <c r="C31" s="14">
        <v>23</v>
      </c>
      <c r="D31" s="36"/>
      <c r="E31" s="57"/>
      <c r="F31" s="20" t="str">
        <f t="shared" si="0"/>
        <v/>
      </c>
      <c r="G31" s="39"/>
      <c r="H31" s="21" t="str">
        <f t="shared" si="1"/>
        <v/>
      </c>
      <c r="I31" s="41"/>
      <c r="J31" s="22" t="str">
        <f t="shared" si="5"/>
        <v/>
      </c>
      <c r="K31" s="23" t="str">
        <f t="shared" si="6"/>
        <v/>
      </c>
      <c r="L31" s="46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5" t="s">
        <v>7</v>
      </c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23.25" customHeight="1">
      <c r="A32" s="7"/>
      <c r="B32" s="98"/>
      <c r="C32" s="15">
        <v>24</v>
      </c>
      <c r="D32" s="37"/>
      <c r="E32" s="57"/>
      <c r="F32" s="20" t="str">
        <f t="shared" si="0"/>
        <v/>
      </c>
      <c r="G32" s="39"/>
      <c r="H32" s="21" t="str">
        <f t="shared" si="1"/>
        <v/>
      </c>
      <c r="I32" s="41"/>
      <c r="J32" s="22" t="str">
        <f t="shared" si="5"/>
        <v/>
      </c>
      <c r="K32" s="23" t="str">
        <f t="shared" si="6"/>
        <v/>
      </c>
      <c r="L32" s="46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5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23.25" customHeight="1">
      <c r="A33" s="7"/>
      <c r="B33" s="98"/>
      <c r="C33" s="14">
        <v>25</v>
      </c>
      <c r="D33" s="36"/>
      <c r="E33" s="57"/>
      <c r="F33" s="20" t="str">
        <f t="shared" si="0"/>
        <v/>
      </c>
      <c r="G33" s="39"/>
      <c r="H33" s="21" t="str">
        <f t="shared" si="1"/>
        <v/>
      </c>
      <c r="I33" s="41"/>
      <c r="J33" s="22" t="str">
        <f t="shared" si="5"/>
        <v/>
      </c>
      <c r="K33" s="23" t="str">
        <f t="shared" si="6"/>
        <v/>
      </c>
      <c r="L33" s="46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5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23.25" customHeight="1">
      <c r="A34" s="7"/>
      <c r="B34" s="98"/>
      <c r="C34" s="15">
        <v>26</v>
      </c>
      <c r="D34" s="37"/>
      <c r="E34" s="57"/>
      <c r="F34" s="20" t="str">
        <f t="shared" si="0"/>
        <v/>
      </c>
      <c r="G34" s="39"/>
      <c r="H34" s="21" t="str">
        <f t="shared" si="1"/>
        <v/>
      </c>
      <c r="I34" s="41"/>
      <c r="J34" s="22" t="str">
        <f t="shared" si="5"/>
        <v/>
      </c>
      <c r="K34" s="23" t="str">
        <f t="shared" si="6"/>
        <v/>
      </c>
      <c r="L34" s="46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5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23.25" customHeight="1">
      <c r="A35" s="7"/>
      <c r="B35" s="98"/>
      <c r="C35" s="14">
        <v>27</v>
      </c>
      <c r="D35" s="36"/>
      <c r="E35" s="57"/>
      <c r="F35" s="20" t="str">
        <f t="shared" si="0"/>
        <v/>
      </c>
      <c r="G35" s="39"/>
      <c r="H35" s="21" t="str">
        <f t="shared" si="1"/>
        <v/>
      </c>
      <c r="I35" s="41"/>
      <c r="J35" s="22" t="str">
        <f t="shared" si="5"/>
        <v/>
      </c>
      <c r="K35" s="23" t="str">
        <f t="shared" si="6"/>
        <v/>
      </c>
      <c r="L35" s="46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5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23.25" customHeight="1">
      <c r="A36" s="7"/>
      <c r="B36" s="98"/>
      <c r="C36" s="14">
        <v>28</v>
      </c>
      <c r="D36" s="36"/>
      <c r="E36" s="57"/>
      <c r="F36" s="20" t="str">
        <f t="shared" si="0"/>
        <v/>
      </c>
      <c r="G36" s="39"/>
      <c r="H36" s="21" t="str">
        <f t="shared" si="1"/>
        <v/>
      </c>
      <c r="I36" s="41"/>
      <c r="J36" s="22" t="str">
        <f t="shared" si="5"/>
        <v/>
      </c>
      <c r="K36" s="23" t="str">
        <f t="shared" si="6"/>
        <v/>
      </c>
      <c r="L36" s="46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5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23.25" customHeight="1">
      <c r="A37" s="7"/>
      <c r="B37" s="98"/>
      <c r="C37" s="15">
        <v>29</v>
      </c>
      <c r="D37" s="37"/>
      <c r="E37" s="57"/>
      <c r="F37" s="20" t="str">
        <f t="shared" si="0"/>
        <v/>
      </c>
      <c r="G37" s="39"/>
      <c r="H37" s="21" t="str">
        <f t="shared" si="1"/>
        <v/>
      </c>
      <c r="I37" s="41"/>
      <c r="J37" s="22" t="str">
        <f t="shared" si="5"/>
        <v/>
      </c>
      <c r="K37" s="23" t="str">
        <f t="shared" si="6"/>
        <v/>
      </c>
      <c r="L37" s="46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5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23.25" customHeight="1">
      <c r="A38" s="7"/>
      <c r="B38" s="99"/>
      <c r="C38" s="16">
        <v>30</v>
      </c>
      <c r="D38" s="38"/>
      <c r="E38" s="58"/>
      <c r="F38" s="20" t="str">
        <f t="shared" si="0"/>
        <v/>
      </c>
      <c r="G38" s="40"/>
      <c r="H38" s="21" t="str">
        <f t="shared" si="1"/>
        <v/>
      </c>
      <c r="I38" s="42"/>
      <c r="J38" s="24" t="str">
        <f t="shared" si="5"/>
        <v/>
      </c>
      <c r="K38" s="25" t="str">
        <f t="shared" si="6"/>
        <v/>
      </c>
      <c r="L38" s="47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9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7"/>
      <c r="B39" s="5"/>
      <c r="C39" s="5"/>
      <c r="D39" s="5"/>
      <c r="E39" s="1"/>
      <c r="F39" s="7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7"/>
      <c r="B40" s="5"/>
      <c r="C40" s="5"/>
      <c r="D40" s="5"/>
      <c r="E40" s="1"/>
      <c r="F40" s="7"/>
      <c r="G40" s="1"/>
      <c r="H40" s="7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.75" customHeight="1">
      <c r="B41" s="5"/>
      <c r="C41" s="5"/>
      <c r="D41" s="5"/>
    </row>
    <row r="42" spans="1:40" ht="15.75" customHeight="1"/>
    <row r="43" spans="1:40" ht="15.75" customHeight="1"/>
    <row r="44" spans="1:40" ht="15.75" customHeight="1"/>
    <row r="45" spans="1:40" ht="15.75" customHeight="1"/>
    <row r="46" spans="1:40" ht="15.75" customHeight="1"/>
    <row r="47" spans="1:40" ht="15.75" customHeight="1"/>
    <row r="48" spans="1:4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sheetProtection sheet="1" objects="1" scenarios="1" formatCells="0" insertColumns="0" insertRows="0" deleteColumns="0" deleteRows="0"/>
  <mergeCells count="9">
    <mergeCell ref="J1:K1"/>
    <mergeCell ref="J2:K2"/>
    <mergeCell ref="J3:K3"/>
    <mergeCell ref="J4:K4"/>
    <mergeCell ref="B9:B38"/>
    <mergeCell ref="F7:I7"/>
    <mergeCell ref="J7:K7"/>
    <mergeCell ref="H8:I8"/>
    <mergeCell ref="F8:G8"/>
  </mergeCells>
  <phoneticPr fontId="10" type="noConversion"/>
  <conditionalFormatting sqref="D9:D38">
    <cfRule type="cellIs" dxfId="9" priority="1" operator="equal">
      <formula>"Sí"</formula>
    </cfRule>
  </conditionalFormatting>
  <conditionalFormatting sqref="F9:F38 H9:H38">
    <cfRule type="cellIs" dxfId="8" priority="2" operator="lessThanOrEqual">
      <formula>0</formula>
    </cfRule>
    <cfRule type="cellIs" dxfId="7" priority="7" operator="greaterThan">
      <formula>0</formula>
    </cfRule>
  </conditionalFormatting>
  <conditionalFormatting sqref="J2:J3 L9:AE38">
    <cfRule type="cellIs" dxfId="6" priority="8" operator="equal">
      <formula>$J$2</formula>
    </cfRule>
    <cfRule type="cellIs" dxfId="5" priority="9" operator="equal">
      <formula>$J$3</formula>
    </cfRule>
  </conditionalFormatting>
  <dataValidations count="3">
    <dataValidation type="list" allowBlank="1" showErrorMessage="1" sqref="L9:AE38" xr:uid="{D04A9F9D-38CF-4089-B747-974C73204D36}">
      <formula1>$J$2:$J$3</formula1>
    </dataValidation>
    <dataValidation allowBlank="1" showErrorMessage="1" sqref="J2:J4" xr:uid="{37D3F77D-E3B6-4ABB-A8CE-697C37FA46C8}"/>
    <dataValidation type="list" allowBlank="1" showInputMessage="1" showErrorMessage="1" sqref="D9:D38" xr:uid="{9D57DD23-B384-4A56-9890-517B7C2FE77E}">
      <formula1>"Sí"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B8F1-2F2B-45FE-8DEF-A436F669022F}">
  <sheetPr>
    <tabColor theme="1"/>
  </sheetPr>
  <dimension ref="A1:AN1049"/>
  <sheetViews>
    <sheetView showGridLines="0" tabSelected="1" zoomScaleNormal="100" workbookViewId="0">
      <pane xSplit="11" ySplit="6" topLeftCell="L7" activePane="bottomRight" state="frozen"/>
      <selection pane="bottomRight" activeCell="E52" sqref="E52"/>
      <selection pane="bottomLeft" activeCell="A8" sqref="A8"/>
      <selection pane="topRight" activeCell="K1" sqref="K1"/>
    </sheetView>
  </sheetViews>
  <sheetFormatPr defaultColWidth="14.42578125" defaultRowHeight="15" customHeight="1"/>
  <cols>
    <col min="1" max="1" width="3.7109375" style="8" customWidth="1"/>
    <col min="2" max="2" width="4.7109375" customWidth="1"/>
    <col min="3" max="3" width="3.7109375" customWidth="1"/>
    <col min="4" max="4" width="6" customWidth="1"/>
    <col min="5" max="5" width="36.28515625" customWidth="1"/>
    <col min="6" max="6" width="1.28515625" style="8" customWidth="1"/>
    <col min="7" max="7" width="7.7109375" customWidth="1"/>
    <col min="8" max="8" width="1.28515625" style="8" customWidth="1"/>
    <col min="9" max="9" width="7.42578125" customWidth="1"/>
    <col min="10" max="11" width="7.7109375" customWidth="1"/>
    <col min="12" max="31" width="12.42578125" customWidth="1"/>
    <col min="32" max="34" width="11.140625" customWidth="1"/>
    <col min="35" max="40" width="10.7109375" customWidth="1"/>
  </cols>
  <sheetData>
    <row r="1" spans="1:40" ht="31.5" customHeight="1">
      <c r="A1" s="7"/>
      <c r="B1" s="12" t="s">
        <v>0</v>
      </c>
      <c r="C1" s="12"/>
      <c r="D1" s="12"/>
      <c r="E1" s="2"/>
      <c r="F1" s="2"/>
      <c r="G1" s="2"/>
      <c r="H1" s="9"/>
      <c r="I1" s="9"/>
      <c r="J1" s="87" t="s">
        <v>1</v>
      </c>
      <c r="K1" s="87"/>
      <c r="L1" s="26" t="s">
        <v>2</v>
      </c>
      <c r="M1" s="27"/>
      <c r="N1" s="28" t="s">
        <v>3</v>
      </c>
      <c r="O1" s="19"/>
      <c r="P1" s="33" t="s">
        <v>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customHeight="1">
      <c r="A2" s="7"/>
      <c r="B2" s="1"/>
      <c r="C2" s="1"/>
      <c r="D2" s="1"/>
      <c r="E2" s="71"/>
      <c r="F2" s="9"/>
      <c r="G2" s="3"/>
      <c r="H2" s="9"/>
      <c r="I2" s="9"/>
      <c r="J2" s="88" t="s">
        <v>5</v>
      </c>
      <c r="K2" s="89"/>
      <c r="L2" s="29">
        <f>COUNTIF($F$9:$F$67,"&lt;=0")/COUNTIF($G$9:$G$67,"&lt;&gt;")</f>
        <v>13.5</v>
      </c>
      <c r="M2" s="30" t="str">
        <f>COUNTIF($F$9:$F$67,"&lt;=0") &amp;" de "&amp; COUNTIF($G$9:$G$67,"&lt;&gt;") &amp;" Temas"</f>
        <v>27 de 2 Temas</v>
      </c>
      <c r="N2" s="31" t="str">
        <f>SUMIF($F$9:$F$67,"&gt;=0") &amp;" nivel "&amp;J2</f>
        <v>21 nivel Experto</v>
      </c>
      <c r="P2" s="34">
        <f>COUNTIFS($F$9:$F$67,"&lt;=0",$D$9:$D$67,"Sí")/COUNTIFS($G$9:$G$67,"&lt;&gt;",$D$9:$D$67,"Sí")</f>
        <v>5.5</v>
      </c>
      <c r="Q2" s="35" t="str">
        <f>COUNTIFS($F$9:$F$67,"&lt;=0",$D$9:$D$67,"Sí") &amp;" de "&amp; COUNTIFS($G$9:$G$67,"&lt;&gt;",$D$9:$D$67,"Sí") &amp;" Temas"</f>
        <v>11 de 2 Temas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6.5" customHeight="1">
      <c r="A3" s="7"/>
      <c r="B3" s="10" t="s">
        <v>6</v>
      </c>
      <c r="C3" s="1"/>
      <c r="D3" s="50"/>
      <c r="E3" s="72"/>
      <c r="F3" s="13"/>
      <c r="G3" s="51"/>
      <c r="H3" s="13"/>
      <c r="I3" s="9"/>
      <c r="J3" s="90" t="s">
        <v>7</v>
      </c>
      <c r="K3" s="91"/>
      <c r="L3" s="29">
        <f>COUNTIF($H$9:$H$67,"&lt;=0")/COUNTIF($I$9:$I$67,"&lt;&gt;")</f>
        <v>13.5</v>
      </c>
      <c r="M3" s="30" t="str">
        <f>COUNTIF($H$9:$H$67,"&lt;=0") &amp;" de "&amp; COUNTIF($I$9:$I$67,"&lt;&gt;") &amp;" Temas"</f>
        <v>27 de 2 Temas</v>
      </c>
      <c r="N3" s="31" t="str">
        <f>SUMIF($H$9:$H$67,"&gt;=0") &amp;" nivel "&amp;J3</f>
        <v>11 nivel General</v>
      </c>
      <c r="P3" s="34">
        <f>COUNTIFS($H$9:$H$67,"&lt;=0",$D$9:$D$67,"Sí")/COUNTIFS($I$9:$I$67,"&lt;&gt;",$D$9:$D$67,"Sí")</f>
        <v>5.5</v>
      </c>
      <c r="Q3" s="35" t="str">
        <f>COUNTIFS($H$9:$H$67,"&lt;=0",$D$9:$D$67,"Sí") &amp;" de "&amp; COUNTIFS($I$9:$I$67,"&lt;&gt;",$D$9:$D$67,"Sí") &amp;" Temas"</f>
        <v>11 de 2 Temas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6.5" customHeight="1">
      <c r="A4" s="7"/>
      <c r="B4" s="10"/>
      <c r="C4" s="1"/>
      <c r="D4" s="56" t="s">
        <v>8</v>
      </c>
      <c r="E4" s="71"/>
      <c r="F4" s="9"/>
      <c r="G4" s="17"/>
      <c r="H4" s="9"/>
      <c r="I4" s="9"/>
      <c r="J4" s="92" t="s">
        <v>9</v>
      </c>
      <c r="K4" s="93"/>
      <c r="L4" s="29">
        <f>COUNTIFS($F$9:$F$67,"&lt;=0",$H$9:$H$67,"&lt;=0") / COUNTIFS($E$9:$E$67,"&lt;&gt;",$G$9:$G$67,"&lt;&gt;",$I$9:$I$67,"&lt;&gt;")</f>
        <v>13.5</v>
      </c>
      <c r="M4" s="30" t="str">
        <f>COUNTIFS($F$9:$F$67,"&lt;=0",$H$9:$H$67,"&lt;=0") &amp;" de "&amp; COUNTIFS($E$9:$E$67,"&lt;&gt;",$G$9:$G$67,"&lt;&gt;",$I$9:$I$67,"&lt;&gt;") &amp;" Temas"</f>
        <v>27 de 2 Temas</v>
      </c>
      <c r="N4" s="32"/>
      <c r="P4" s="34">
        <f>COUNTIFS($F$9:$F$67,"&lt;=0",$H$9:$H$67,"&lt;=0",$D$9:$D$67,"Sí") / COUNTIFS($E$9:$E$67,"&lt;&gt;",$D$9:$D$67,"Sí",$G$9:$G$67,"&lt;&gt;",$I$9:$I$67,"&lt;&gt;")</f>
        <v>5.5</v>
      </c>
      <c r="Q4" s="35" t="str">
        <f>COUNTIFS($F$9:$F$67,"&lt;=0",$H$9:$H$67,"&lt;=0",$D$9:$D$67,"Sí") &amp;" de "&amp; COUNTIFS($E$9:$E$67,"&lt;&gt;",$D$9:$D$67,"Sí",$G$9:$G$67,"&lt;&gt;",$I$9:$I$67,"&lt;&gt;") &amp;" Temas"</f>
        <v>11 de 2 Temas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1.25" customHeight="1">
      <c r="A5" s="7"/>
      <c r="B5" s="1"/>
      <c r="C5" s="1"/>
      <c r="D5" s="1"/>
      <c r="E5" s="73"/>
      <c r="F5" s="9"/>
      <c r="G5" s="3"/>
      <c r="H5" s="9"/>
      <c r="I5" s="9"/>
      <c r="J5" s="3"/>
      <c r="K5" s="9"/>
      <c r="L5" s="9"/>
      <c r="M5" s="9"/>
      <c r="N5" s="9"/>
      <c r="O5" s="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7"/>
      <c r="B6" s="1"/>
      <c r="C6" s="1"/>
      <c r="D6" s="1"/>
      <c r="E6" s="73"/>
      <c r="F6" s="6"/>
      <c r="G6" s="3"/>
      <c r="J6" s="3"/>
      <c r="L6" s="54"/>
      <c r="M6" s="55"/>
      <c r="N6" s="55" t="s">
        <v>10</v>
      </c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1"/>
      <c r="AG6" s="1"/>
      <c r="AH6" s="1"/>
      <c r="AI6" s="1"/>
      <c r="AJ6" s="1"/>
      <c r="AK6" s="1"/>
      <c r="AL6" s="1"/>
      <c r="AM6" s="1"/>
      <c r="AN6" s="1"/>
    </row>
    <row r="7" spans="1:40" s="1" customFormat="1" ht="21" customHeight="1">
      <c r="A7" s="7"/>
      <c r="B7" s="4"/>
      <c r="C7" s="4"/>
      <c r="D7" s="18"/>
      <c r="E7" s="9"/>
      <c r="F7" s="94" t="s">
        <v>11</v>
      </c>
      <c r="G7" s="95"/>
      <c r="H7" s="95"/>
      <c r="I7" s="96"/>
      <c r="J7" s="97" t="s">
        <v>12</v>
      </c>
      <c r="K7" s="97"/>
      <c r="L7" s="81" t="s">
        <v>47</v>
      </c>
      <c r="M7" s="81" t="s">
        <v>14</v>
      </c>
      <c r="N7" s="81" t="s">
        <v>48</v>
      </c>
      <c r="O7" s="81" t="s">
        <v>16</v>
      </c>
      <c r="P7" s="81" t="s">
        <v>49</v>
      </c>
      <c r="Q7" s="81" t="s">
        <v>50</v>
      </c>
      <c r="R7" s="81" t="s">
        <v>51</v>
      </c>
      <c r="S7" s="69" t="s">
        <v>52</v>
      </c>
      <c r="T7" s="69" t="s">
        <v>53</v>
      </c>
      <c r="U7" s="69" t="s">
        <v>54</v>
      </c>
      <c r="V7" s="69" t="s">
        <v>55</v>
      </c>
      <c r="W7" s="69" t="s">
        <v>56</v>
      </c>
      <c r="X7" s="69" t="s">
        <v>57</v>
      </c>
      <c r="Y7" s="69" t="s">
        <v>58</v>
      </c>
      <c r="Z7" s="69" t="s">
        <v>59</v>
      </c>
      <c r="AA7" s="69" t="s">
        <v>28</v>
      </c>
      <c r="AB7" s="69" t="s">
        <v>60</v>
      </c>
      <c r="AC7" s="69" t="s">
        <v>30</v>
      </c>
      <c r="AD7" s="69" t="s">
        <v>61</v>
      </c>
      <c r="AE7" s="74" t="s">
        <v>62</v>
      </c>
    </row>
    <row r="8" spans="1:40" ht="15" customHeight="1">
      <c r="A8" s="7"/>
      <c r="B8" s="4"/>
      <c r="C8" s="75" t="s">
        <v>33</v>
      </c>
      <c r="D8" s="76" t="s">
        <v>34</v>
      </c>
      <c r="E8" s="77" t="s">
        <v>35</v>
      </c>
      <c r="F8" s="82" t="str">
        <f>$J$2</f>
        <v>Experto</v>
      </c>
      <c r="G8" s="83"/>
      <c r="H8" s="84" t="str">
        <f>$J$3</f>
        <v>General</v>
      </c>
      <c r="I8" s="85"/>
      <c r="J8" s="78" t="str">
        <f>$J$2</f>
        <v>Experto</v>
      </c>
      <c r="K8" s="79" t="str">
        <f>$J$3</f>
        <v>General</v>
      </c>
      <c r="L8" s="70" t="s">
        <v>36</v>
      </c>
      <c r="M8" s="70" t="s">
        <v>36</v>
      </c>
      <c r="N8" s="70" t="s">
        <v>63</v>
      </c>
      <c r="O8" s="70" t="s">
        <v>36</v>
      </c>
      <c r="P8" s="70" t="s">
        <v>36</v>
      </c>
      <c r="Q8" s="70" t="s">
        <v>64</v>
      </c>
      <c r="R8" s="70" t="s">
        <v>65</v>
      </c>
      <c r="S8" s="70" t="s">
        <v>66</v>
      </c>
      <c r="T8" s="70" t="s">
        <v>64</v>
      </c>
      <c r="U8" s="70" t="s">
        <v>67</v>
      </c>
      <c r="V8" s="70" t="s">
        <v>63</v>
      </c>
      <c r="W8" s="70" t="s">
        <v>66</v>
      </c>
      <c r="X8" s="70" t="s">
        <v>67</v>
      </c>
      <c r="Y8" s="70" t="s">
        <v>64</v>
      </c>
      <c r="Z8" s="70" t="s">
        <v>66</v>
      </c>
      <c r="AA8" s="70" t="s">
        <v>36</v>
      </c>
      <c r="AB8" s="70" t="s">
        <v>64</v>
      </c>
      <c r="AC8" s="70" t="s">
        <v>36</v>
      </c>
      <c r="AD8" s="70" t="s">
        <v>67</v>
      </c>
      <c r="AE8" s="80" t="s">
        <v>68</v>
      </c>
      <c r="AF8" s="1"/>
      <c r="AG8" s="1"/>
      <c r="AH8" s="1"/>
      <c r="AI8" s="1"/>
      <c r="AJ8" s="1"/>
      <c r="AK8" s="1"/>
      <c r="AL8" s="1"/>
      <c r="AM8" s="1"/>
      <c r="AN8" s="1"/>
    </row>
    <row r="9" spans="1:40" ht="30">
      <c r="A9" s="7"/>
      <c r="B9" s="86" t="s">
        <v>37</v>
      </c>
      <c r="C9" s="14">
        <v>1</v>
      </c>
      <c r="D9" s="36" t="s">
        <v>38</v>
      </c>
      <c r="E9" s="57" t="s">
        <v>69</v>
      </c>
      <c r="F9" s="20">
        <f>IF($E9&lt;&gt;"",G9-J9,"")</f>
        <v>9</v>
      </c>
      <c r="G9" s="39">
        <v>20</v>
      </c>
      <c r="H9" s="21">
        <f>IF($E9&lt;&gt;"",I9-K9,"")</f>
        <v>6</v>
      </c>
      <c r="I9" s="41">
        <v>12</v>
      </c>
      <c r="J9" s="22">
        <f>IF($E9&lt;&gt;"",COUNTIF($L9:$AE9,$J$8),"")</f>
        <v>11</v>
      </c>
      <c r="K9" s="23">
        <f>IF($E9&lt;&gt;"",COUNTIF($L9:$AE9,$K$8),"")</f>
        <v>6</v>
      </c>
      <c r="L9" s="43" t="s">
        <v>5</v>
      </c>
      <c r="M9" s="44" t="s">
        <v>5</v>
      </c>
      <c r="N9" s="44" t="s">
        <v>5</v>
      </c>
      <c r="O9" s="44"/>
      <c r="P9" s="44" t="s">
        <v>7</v>
      </c>
      <c r="Q9" s="44" t="s">
        <v>7</v>
      </c>
      <c r="R9" s="43" t="s">
        <v>5</v>
      </c>
      <c r="S9" s="44" t="s">
        <v>7</v>
      </c>
      <c r="T9" s="44" t="s">
        <v>5</v>
      </c>
      <c r="U9" s="44" t="s">
        <v>5</v>
      </c>
      <c r="V9" s="44" t="s">
        <v>5</v>
      </c>
      <c r="W9" s="44" t="s">
        <v>7</v>
      </c>
      <c r="X9" s="44" t="s">
        <v>5</v>
      </c>
      <c r="Y9" s="44" t="s">
        <v>5</v>
      </c>
      <c r="Z9" s="44" t="s">
        <v>5</v>
      </c>
      <c r="AA9" s="44"/>
      <c r="AB9" s="44" t="s">
        <v>5</v>
      </c>
      <c r="AC9" s="44"/>
      <c r="AD9" s="44" t="s">
        <v>7</v>
      </c>
      <c r="AE9" s="44" t="s">
        <v>7</v>
      </c>
      <c r="AF9" s="1"/>
      <c r="AH9" s="1"/>
      <c r="AI9" s="1"/>
      <c r="AJ9" s="1"/>
      <c r="AK9" s="1"/>
      <c r="AL9" s="1"/>
      <c r="AM9" s="1"/>
      <c r="AN9" s="1"/>
    </row>
    <row r="10" spans="1:40" ht="30">
      <c r="A10" s="7"/>
      <c r="B10" s="98"/>
      <c r="C10" s="15">
        <v>2</v>
      </c>
      <c r="D10" s="37" t="s">
        <v>38</v>
      </c>
      <c r="E10" s="57" t="s">
        <v>70</v>
      </c>
      <c r="F10" s="20">
        <f t="shared" ref="F10:F67" si="0">IF($E10&lt;&gt;"",G10-J10,"")</f>
        <v>12</v>
      </c>
      <c r="G10" s="39">
        <v>20</v>
      </c>
      <c r="H10" s="21">
        <f t="shared" ref="H10:H67" si="1">IF($E10&lt;&gt;"",I10-K10,"")</f>
        <v>5</v>
      </c>
      <c r="I10" s="41">
        <v>12</v>
      </c>
      <c r="J10" s="22">
        <f>IF($E10&lt;&gt;"",COUNTIF($L10:$AE10,$J$8),"")</f>
        <v>8</v>
      </c>
      <c r="K10" s="23">
        <f>IF($E10&lt;&gt;"",COUNTIF($L10:$AE10,$K$8),"")</f>
        <v>7</v>
      </c>
      <c r="L10" s="46" t="s">
        <v>5</v>
      </c>
      <c r="M10" s="44"/>
      <c r="N10" s="44" t="s">
        <v>5</v>
      </c>
      <c r="O10" s="44"/>
      <c r="P10" s="44" t="s">
        <v>7</v>
      </c>
      <c r="Q10" s="44" t="s">
        <v>7</v>
      </c>
      <c r="R10" s="43" t="s">
        <v>5</v>
      </c>
      <c r="S10" s="44" t="s">
        <v>7</v>
      </c>
      <c r="T10" s="44" t="s">
        <v>7</v>
      </c>
      <c r="U10" s="44" t="s">
        <v>7</v>
      </c>
      <c r="V10" s="44" t="s">
        <v>5</v>
      </c>
      <c r="W10" s="44" t="s">
        <v>7</v>
      </c>
      <c r="X10" s="44" t="s">
        <v>5</v>
      </c>
      <c r="Y10" s="44" t="s">
        <v>5</v>
      </c>
      <c r="Z10" s="44" t="s">
        <v>5</v>
      </c>
      <c r="AA10" s="44"/>
      <c r="AB10" s="44" t="s">
        <v>5</v>
      </c>
      <c r="AC10" s="44"/>
      <c r="AD10" s="44"/>
      <c r="AE10" s="44" t="s">
        <v>7</v>
      </c>
      <c r="AF10" s="1"/>
      <c r="AH10" s="1"/>
      <c r="AI10" s="1"/>
      <c r="AJ10" s="1"/>
      <c r="AK10" s="1"/>
      <c r="AL10" s="1"/>
      <c r="AM10" s="1"/>
      <c r="AN10" s="1"/>
    </row>
    <row r="11" spans="1:40" ht="15.95">
      <c r="A11" s="7"/>
      <c r="B11" s="98"/>
      <c r="C11" s="14">
        <v>3</v>
      </c>
      <c r="D11" s="36" t="s">
        <v>38</v>
      </c>
      <c r="E11" s="57" t="s">
        <v>71</v>
      </c>
      <c r="F11" s="20">
        <f t="shared" si="0"/>
        <v>-8</v>
      </c>
      <c r="G11" s="39"/>
      <c r="H11" s="21">
        <f t="shared" si="1"/>
        <v>-8</v>
      </c>
      <c r="I11" s="41"/>
      <c r="J11" s="22">
        <f t="shared" ref="J11:J67" si="2">IF($E11&lt;&gt;"",COUNTIF($L11:$AE11,$J$8),"")</f>
        <v>8</v>
      </c>
      <c r="K11" s="23">
        <f t="shared" ref="K11:K67" si="3">IF($E11&lt;&gt;"",COUNTIF($L11:$AE11,$K$8),"")</f>
        <v>8</v>
      </c>
      <c r="L11" s="46" t="s">
        <v>5</v>
      </c>
      <c r="M11" s="44"/>
      <c r="N11" s="44" t="s">
        <v>5</v>
      </c>
      <c r="O11" s="44"/>
      <c r="P11" s="44" t="s">
        <v>7</v>
      </c>
      <c r="Q11" s="44" t="s">
        <v>7</v>
      </c>
      <c r="R11" s="43" t="s">
        <v>5</v>
      </c>
      <c r="S11" s="44" t="s">
        <v>7</v>
      </c>
      <c r="T11" s="44" t="s">
        <v>5</v>
      </c>
      <c r="U11" s="44" t="s">
        <v>7</v>
      </c>
      <c r="V11" s="44" t="s">
        <v>7</v>
      </c>
      <c r="W11" s="44" t="s">
        <v>5</v>
      </c>
      <c r="X11" s="44" t="s">
        <v>7</v>
      </c>
      <c r="Y11" s="44" t="s">
        <v>5</v>
      </c>
      <c r="Z11" s="44" t="s">
        <v>5</v>
      </c>
      <c r="AA11" s="44"/>
      <c r="AB11" s="44" t="s">
        <v>5</v>
      </c>
      <c r="AC11" s="44"/>
      <c r="AD11" s="44" t="s">
        <v>7</v>
      </c>
      <c r="AE11" s="44" t="s">
        <v>7</v>
      </c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30">
      <c r="A12" s="7"/>
      <c r="B12" s="98"/>
      <c r="C12" s="15">
        <v>4</v>
      </c>
      <c r="D12" s="37" t="s">
        <v>38</v>
      </c>
      <c r="E12" s="57" t="s">
        <v>72</v>
      </c>
      <c r="F12" s="20">
        <f t="shared" si="0"/>
        <v>-6</v>
      </c>
      <c r="G12" s="39"/>
      <c r="H12" s="21">
        <f t="shared" si="1"/>
        <v>-10</v>
      </c>
      <c r="I12" s="41"/>
      <c r="J12" s="22">
        <f t="shared" si="2"/>
        <v>6</v>
      </c>
      <c r="K12" s="23">
        <f t="shared" si="3"/>
        <v>10</v>
      </c>
      <c r="L12" s="46" t="s">
        <v>7</v>
      </c>
      <c r="M12" s="44"/>
      <c r="N12" s="44" t="s">
        <v>5</v>
      </c>
      <c r="O12" s="44"/>
      <c r="P12" s="44" t="s">
        <v>7</v>
      </c>
      <c r="Q12" s="44" t="s">
        <v>7</v>
      </c>
      <c r="R12" s="43" t="s">
        <v>5</v>
      </c>
      <c r="S12" s="44" t="s">
        <v>7</v>
      </c>
      <c r="T12" s="44" t="s">
        <v>5</v>
      </c>
      <c r="U12" s="44" t="s">
        <v>7</v>
      </c>
      <c r="V12" s="44" t="s">
        <v>7</v>
      </c>
      <c r="W12" s="44" t="s">
        <v>5</v>
      </c>
      <c r="X12" s="44" t="s">
        <v>7</v>
      </c>
      <c r="Y12" s="44" t="s">
        <v>5</v>
      </c>
      <c r="Z12" s="44" t="s">
        <v>7</v>
      </c>
      <c r="AA12" s="44"/>
      <c r="AB12" s="44" t="s">
        <v>5</v>
      </c>
      <c r="AC12" s="44"/>
      <c r="AD12" s="44" t="s">
        <v>7</v>
      </c>
      <c r="AE12" s="44" t="s">
        <v>7</v>
      </c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.95">
      <c r="A13" s="7"/>
      <c r="B13" s="98"/>
      <c r="C13" s="14">
        <v>5</v>
      </c>
      <c r="D13" s="36"/>
      <c r="E13" s="57" t="s">
        <v>73</v>
      </c>
      <c r="F13" s="20">
        <f t="shared" si="0"/>
        <v>-9</v>
      </c>
      <c r="G13" s="39"/>
      <c r="H13" s="21">
        <f t="shared" si="1"/>
        <v>-6</v>
      </c>
      <c r="I13" s="41"/>
      <c r="J13" s="22">
        <f t="shared" si="2"/>
        <v>9</v>
      </c>
      <c r="K13" s="23">
        <f t="shared" si="3"/>
        <v>6</v>
      </c>
      <c r="L13" s="46" t="s">
        <v>5</v>
      </c>
      <c r="M13" s="44"/>
      <c r="N13" s="44" t="s">
        <v>5</v>
      </c>
      <c r="O13" s="44"/>
      <c r="P13" s="44" t="s">
        <v>5</v>
      </c>
      <c r="Q13" s="44" t="s">
        <v>7</v>
      </c>
      <c r="R13" s="44"/>
      <c r="S13" s="44" t="s">
        <v>7</v>
      </c>
      <c r="T13" s="44" t="s">
        <v>7</v>
      </c>
      <c r="U13" s="44" t="s">
        <v>7</v>
      </c>
      <c r="V13" s="44" t="s">
        <v>5</v>
      </c>
      <c r="W13" s="44" t="s">
        <v>5</v>
      </c>
      <c r="X13" s="44" t="s">
        <v>5</v>
      </c>
      <c r="Y13" s="44" t="s">
        <v>5</v>
      </c>
      <c r="Z13" s="44" t="s">
        <v>5</v>
      </c>
      <c r="AA13" s="44"/>
      <c r="AB13" s="44" t="s">
        <v>5</v>
      </c>
      <c r="AC13" s="44"/>
      <c r="AD13" s="44" t="s">
        <v>7</v>
      </c>
      <c r="AE13" s="44" t="s">
        <v>7</v>
      </c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.95">
      <c r="A14" s="7"/>
      <c r="B14" s="98"/>
      <c r="C14" s="15">
        <v>6</v>
      </c>
      <c r="D14" s="37" t="s">
        <v>38</v>
      </c>
      <c r="E14" s="57" t="s">
        <v>74</v>
      </c>
      <c r="F14" s="20">
        <f t="shared" si="0"/>
        <v>-2</v>
      </c>
      <c r="G14" s="39"/>
      <c r="H14" s="21">
        <f t="shared" si="1"/>
        <v>-9</v>
      </c>
      <c r="I14" s="41"/>
      <c r="J14" s="22">
        <f t="shared" si="2"/>
        <v>2</v>
      </c>
      <c r="K14" s="23">
        <f t="shared" si="3"/>
        <v>9</v>
      </c>
      <c r="L14" s="46" t="s">
        <v>7</v>
      </c>
      <c r="M14" s="44"/>
      <c r="N14" s="44" t="s">
        <v>7</v>
      </c>
      <c r="O14" s="44"/>
      <c r="P14" s="44" t="s">
        <v>7</v>
      </c>
      <c r="Q14" s="44"/>
      <c r="R14" s="43" t="s">
        <v>5</v>
      </c>
      <c r="S14" s="44"/>
      <c r="T14" s="44" t="s">
        <v>5</v>
      </c>
      <c r="U14" s="44" t="s">
        <v>7</v>
      </c>
      <c r="V14" s="44" t="s">
        <v>7</v>
      </c>
      <c r="W14" s="44" t="s">
        <v>7</v>
      </c>
      <c r="X14" s="44" t="s">
        <v>7</v>
      </c>
      <c r="Y14" s="44" t="s">
        <v>7</v>
      </c>
      <c r="Z14" s="44"/>
      <c r="AA14" s="44"/>
      <c r="AB14" s="44" t="s">
        <v>7</v>
      </c>
      <c r="AC14" s="44"/>
      <c r="AD14" s="44"/>
      <c r="AE14" s="45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27" customHeight="1">
      <c r="A15" s="7"/>
      <c r="B15" s="98"/>
      <c r="C15" s="14">
        <v>7</v>
      </c>
      <c r="D15" s="36"/>
      <c r="E15" s="57" t="s">
        <v>75</v>
      </c>
      <c r="F15" s="20">
        <f t="shared" si="0"/>
        <v>-1</v>
      </c>
      <c r="G15" s="39"/>
      <c r="H15" s="21">
        <f t="shared" si="1"/>
        <v>-8</v>
      </c>
      <c r="I15" s="41"/>
      <c r="J15" s="22">
        <f t="shared" si="2"/>
        <v>1</v>
      </c>
      <c r="K15" s="23">
        <f t="shared" si="3"/>
        <v>8</v>
      </c>
      <c r="L15" s="46" t="s">
        <v>7</v>
      </c>
      <c r="M15" s="44"/>
      <c r="N15" s="44" t="s">
        <v>7</v>
      </c>
      <c r="O15" s="44"/>
      <c r="P15" s="44" t="s">
        <v>7</v>
      </c>
      <c r="Q15" s="44"/>
      <c r="R15" s="44"/>
      <c r="S15" s="44"/>
      <c r="T15" s="44" t="s">
        <v>5</v>
      </c>
      <c r="U15" s="44" t="s">
        <v>7</v>
      </c>
      <c r="V15" s="44"/>
      <c r="W15" s="44"/>
      <c r="X15" s="44" t="s">
        <v>7</v>
      </c>
      <c r="Y15" s="44" t="s">
        <v>7</v>
      </c>
      <c r="Z15" s="44"/>
      <c r="AA15" s="44"/>
      <c r="AB15" s="44" t="s">
        <v>7</v>
      </c>
      <c r="AC15" s="44"/>
      <c r="AD15" s="44" t="s">
        <v>7</v>
      </c>
      <c r="AE15" s="45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.95">
      <c r="A16" s="7"/>
      <c r="B16" s="98"/>
      <c r="C16" s="15">
        <v>8</v>
      </c>
      <c r="D16" s="37"/>
      <c r="E16" s="57" t="s">
        <v>76</v>
      </c>
      <c r="F16" s="20">
        <f t="shared" si="0"/>
        <v>0</v>
      </c>
      <c r="G16" s="39"/>
      <c r="H16" s="21">
        <f t="shared" si="1"/>
        <v>-5</v>
      </c>
      <c r="I16" s="41"/>
      <c r="J16" s="22">
        <f t="shared" si="2"/>
        <v>0</v>
      </c>
      <c r="K16" s="23">
        <f t="shared" si="3"/>
        <v>5</v>
      </c>
      <c r="L16" s="46"/>
      <c r="M16" s="44"/>
      <c r="N16" s="44" t="s">
        <v>7</v>
      </c>
      <c r="O16" s="44"/>
      <c r="P16" s="44" t="s">
        <v>7</v>
      </c>
      <c r="Q16" s="44"/>
      <c r="R16" s="46" t="s">
        <v>7</v>
      </c>
      <c r="S16" s="44" t="s">
        <v>7</v>
      </c>
      <c r="T16" s="44" t="s">
        <v>7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5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.95">
      <c r="A17" s="7"/>
      <c r="B17" s="98"/>
      <c r="C17" s="14">
        <v>9</v>
      </c>
      <c r="D17" s="36"/>
      <c r="E17" s="57" t="s">
        <v>77</v>
      </c>
      <c r="F17" s="20">
        <f t="shared" si="0"/>
        <v>-1</v>
      </c>
      <c r="G17" s="39"/>
      <c r="H17" s="21">
        <f t="shared" si="1"/>
        <v>-3</v>
      </c>
      <c r="I17" s="41"/>
      <c r="J17" s="22">
        <f t="shared" si="2"/>
        <v>1</v>
      </c>
      <c r="K17" s="23">
        <f t="shared" si="3"/>
        <v>3</v>
      </c>
      <c r="L17" s="46"/>
      <c r="M17" s="44"/>
      <c r="N17" s="44"/>
      <c r="O17" s="44"/>
      <c r="P17" s="44" t="s">
        <v>7</v>
      </c>
      <c r="Q17" s="44"/>
      <c r="R17" s="46" t="s">
        <v>5</v>
      </c>
      <c r="S17" s="44"/>
      <c r="T17" s="44" t="s">
        <v>7</v>
      </c>
      <c r="U17" s="44"/>
      <c r="V17" s="44"/>
      <c r="W17" s="44"/>
      <c r="X17" s="44"/>
      <c r="Y17" s="44"/>
      <c r="Z17" s="44"/>
      <c r="AA17" s="44"/>
      <c r="AB17" s="44" t="s">
        <v>7</v>
      </c>
      <c r="AC17" s="44"/>
      <c r="AD17" s="44"/>
      <c r="AE17" s="45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.95">
      <c r="A18" s="7"/>
      <c r="B18" s="98"/>
      <c r="C18" s="14">
        <v>10</v>
      </c>
      <c r="D18" s="36" t="s">
        <v>38</v>
      </c>
      <c r="E18" s="57" t="s">
        <v>78</v>
      </c>
      <c r="F18" s="20">
        <f t="shared" si="0"/>
        <v>-4</v>
      </c>
      <c r="G18" s="39"/>
      <c r="H18" s="21">
        <f t="shared" si="1"/>
        <v>-10</v>
      </c>
      <c r="I18" s="41"/>
      <c r="J18" s="22">
        <f t="shared" si="2"/>
        <v>4</v>
      </c>
      <c r="K18" s="23">
        <f t="shared" si="3"/>
        <v>10</v>
      </c>
      <c r="L18" s="46" t="s">
        <v>5</v>
      </c>
      <c r="M18" s="44"/>
      <c r="N18" s="44" t="s">
        <v>7</v>
      </c>
      <c r="O18" s="44"/>
      <c r="P18" s="44" t="s">
        <v>7</v>
      </c>
      <c r="Q18" s="46" t="s">
        <v>5</v>
      </c>
      <c r="R18" s="46" t="s">
        <v>5</v>
      </c>
      <c r="S18" s="44" t="s">
        <v>7</v>
      </c>
      <c r="T18" s="44" t="s">
        <v>7</v>
      </c>
      <c r="U18" s="44" t="s">
        <v>7</v>
      </c>
      <c r="V18" s="44" t="s">
        <v>7</v>
      </c>
      <c r="W18" s="44" t="s">
        <v>7</v>
      </c>
      <c r="X18" s="44" t="s">
        <v>7</v>
      </c>
      <c r="Y18" s="44" t="s">
        <v>7</v>
      </c>
      <c r="Z18" s="44" t="s">
        <v>5</v>
      </c>
      <c r="AA18" s="44"/>
      <c r="AB18" s="44" t="s">
        <v>7</v>
      </c>
      <c r="AC18" s="44"/>
      <c r="AD18" s="44"/>
      <c r="AE18" s="45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.95">
      <c r="A19" s="7"/>
      <c r="B19" s="98"/>
      <c r="C19" s="15">
        <v>11</v>
      </c>
      <c r="D19" s="37"/>
      <c r="E19" s="57" t="s">
        <v>79</v>
      </c>
      <c r="F19" s="20">
        <f t="shared" si="0"/>
        <v>-1</v>
      </c>
      <c r="G19" s="39"/>
      <c r="H19" s="21">
        <f t="shared" si="1"/>
        <v>-6</v>
      </c>
      <c r="I19" s="41"/>
      <c r="J19" s="22">
        <f t="shared" si="2"/>
        <v>1</v>
      </c>
      <c r="K19" s="23">
        <f t="shared" si="3"/>
        <v>6</v>
      </c>
      <c r="L19" s="46" t="s">
        <v>7</v>
      </c>
      <c r="M19" s="44"/>
      <c r="N19" s="44" t="s">
        <v>7</v>
      </c>
      <c r="O19" s="44"/>
      <c r="P19" s="44" t="s">
        <v>7</v>
      </c>
      <c r="Q19" s="44"/>
      <c r="R19" s="46" t="s">
        <v>5</v>
      </c>
      <c r="S19" s="44"/>
      <c r="T19" s="44" t="s">
        <v>7</v>
      </c>
      <c r="U19" s="44" t="s">
        <v>7</v>
      </c>
      <c r="V19" s="44"/>
      <c r="W19" s="44"/>
      <c r="X19" s="44"/>
      <c r="Y19" s="44" t="s">
        <v>7</v>
      </c>
      <c r="Z19" s="44"/>
      <c r="AA19" s="44"/>
      <c r="AB19" s="44"/>
      <c r="AC19" s="44"/>
      <c r="AD19" s="44"/>
      <c r="AE19" s="45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95">
      <c r="A20" s="7"/>
      <c r="B20" s="98"/>
      <c r="C20" s="14">
        <v>12</v>
      </c>
      <c r="D20" s="36"/>
      <c r="E20" s="57" t="s">
        <v>80</v>
      </c>
      <c r="F20" s="20">
        <f t="shared" si="0"/>
        <v>-2</v>
      </c>
      <c r="G20" s="39"/>
      <c r="H20" s="21">
        <f t="shared" si="1"/>
        <v>-7</v>
      </c>
      <c r="I20" s="41"/>
      <c r="J20" s="22">
        <f t="shared" si="2"/>
        <v>2</v>
      </c>
      <c r="K20" s="23">
        <f t="shared" si="3"/>
        <v>7</v>
      </c>
      <c r="L20" s="46" t="s">
        <v>5</v>
      </c>
      <c r="M20" s="44"/>
      <c r="N20" s="44" t="s">
        <v>7</v>
      </c>
      <c r="O20" s="44"/>
      <c r="P20" s="44" t="s">
        <v>7</v>
      </c>
      <c r="Q20" s="44"/>
      <c r="R20" s="44"/>
      <c r="S20" s="44"/>
      <c r="T20" s="44" t="s">
        <v>7</v>
      </c>
      <c r="U20" s="44"/>
      <c r="V20" s="44"/>
      <c r="W20" s="44" t="s">
        <v>7</v>
      </c>
      <c r="X20" s="44"/>
      <c r="Y20" s="44" t="s">
        <v>7</v>
      </c>
      <c r="Z20" s="44" t="s">
        <v>5</v>
      </c>
      <c r="AA20" s="44"/>
      <c r="AB20" s="44" t="s">
        <v>7</v>
      </c>
      <c r="AC20" s="44"/>
      <c r="AD20" s="44"/>
      <c r="AE20" s="44" t="s">
        <v>7</v>
      </c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30">
      <c r="A21" s="7"/>
      <c r="B21" s="98"/>
      <c r="C21" s="15">
        <v>13</v>
      </c>
      <c r="D21" s="37"/>
      <c r="E21" s="57" t="s">
        <v>81</v>
      </c>
      <c r="F21" s="20">
        <f t="shared" si="0"/>
        <v>-4</v>
      </c>
      <c r="G21" s="39"/>
      <c r="H21" s="21">
        <f t="shared" si="1"/>
        <v>-9</v>
      </c>
      <c r="I21" s="41"/>
      <c r="J21" s="22">
        <f t="shared" si="2"/>
        <v>4</v>
      </c>
      <c r="K21" s="23">
        <f t="shared" si="3"/>
        <v>9</v>
      </c>
      <c r="L21" s="46" t="s">
        <v>5</v>
      </c>
      <c r="M21" s="44"/>
      <c r="N21" s="44" t="s">
        <v>7</v>
      </c>
      <c r="O21" s="44"/>
      <c r="P21" s="44" t="s">
        <v>7</v>
      </c>
      <c r="Q21" s="46" t="s">
        <v>7</v>
      </c>
      <c r="R21" s="46" t="s">
        <v>7</v>
      </c>
      <c r="S21" s="44" t="s">
        <v>7</v>
      </c>
      <c r="T21" s="44" t="s">
        <v>7</v>
      </c>
      <c r="U21" s="44" t="s">
        <v>7</v>
      </c>
      <c r="V21" s="44" t="s">
        <v>5</v>
      </c>
      <c r="W21" s="44"/>
      <c r="X21" s="44" t="s">
        <v>5</v>
      </c>
      <c r="Y21" s="44" t="s">
        <v>7</v>
      </c>
      <c r="Z21" s="44" t="s">
        <v>7</v>
      </c>
      <c r="AA21" s="44"/>
      <c r="AB21" s="44" t="s">
        <v>5</v>
      </c>
      <c r="AC21" s="44"/>
      <c r="AD21" s="44"/>
      <c r="AE21" s="45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.95">
      <c r="A22" s="7"/>
      <c r="B22" s="98"/>
      <c r="C22" s="14">
        <v>14</v>
      </c>
      <c r="D22" s="36"/>
      <c r="E22" s="57" t="s">
        <v>82</v>
      </c>
      <c r="F22" s="20">
        <f t="shared" si="0"/>
        <v>-1</v>
      </c>
      <c r="G22" s="39"/>
      <c r="H22" s="21">
        <f t="shared" si="1"/>
        <v>-9</v>
      </c>
      <c r="I22" s="41"/>
      <c r="J22" s="22">
        <f t="shared" si="2"/>
        <v>1</v>
      </c>
      <c r="K22" s="23">
        <f t="shared" si="3"/>
        <v>9</v>
      </c>
      <c r="L22" s="46" t="s">
        <v>7</v>
      </c>
      <c r="M22" s="44"/>
      <c r="N22" s="44" t="s">
        <v>7</v>
      </c>
      <c r="O22" s="44"/>
      <c r="P22" s="44" t="s">
        <v>7</v>
      </c>
      <c r="Q22" s="44" t="s">
        <v>7</v>
      </c>
      <c r="R22" s="46" t="s">
        <v>7</v>
      </c>
      <c r="S22" s="44"/>
      <c r="T22" s="44" t="s">
        <v>7</v>
      </c>
      <c r="U22" s="44"/>
      <c r="V22" s="44" t="s">
        <v>5</v>
      </c>
      <c r="W22" s="44" t="s">
        <v>7</v>
      </c>
      <c r="X22" s="44"/>
      <c r="Y22" s="44" t="s">
        <v>7</v>
      </c>
      <c r="Z22" s="44"/>
      <c r="AA22" s="44"/>
      <c r="AB22" s="44" t="s">
        <v>7</v>
      </c>
      <c r="AC22" s="44"/>
      <c r="AD22" s="44"/>
      <c r="AE22" s="45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.95">
      <c r="A23" s="7"/>
      <c r="B23" s="98"/>
      <c r="C23" s="15">
        <v>15</v>
      </c>
      <c r="D23" s="37" t="s">
        <v>38</v>
      </c>
      <c r="E23" s="57" t="s">
        <v>83</v>
      </c>
      <c r="F23" s="20">
        <f t="shared" si="0"/>
        <v>-3</v>
      </c>
      <c r="G23" s="39"/>
      <c r="H23" s="21">
        <f t="shared" si="1"/>
        <v>-8</v>
      </c>
      <c r="I23" s="41"/>
      <c r="J23" s="22">
        <f t="shared" si="2"/>
        <v>3</v>
      </c>
      <c r="K23" s="23">
        <f t="shared" si="3"/>
        <v>8</v>
      </c>
      <c r="L23" s="46" t="s">
        <v>5</v>
      </c>
      <c r="M23" s="44"/>
      <c r="N23" s="44" t="s">
        <v>5</v>
      </c>
      <c r="O23" s="44"/>
      <c r="P23" s="44" t="s">
        <v>7</v>
      </c>
      <c r="Q23" s="44"/>
      <c r="R23" s="46" t="s">
        <v>7</v>
      </c>
      <c r="S23" s="44" t="s">
        <v>7</v>
      </c>
      <c r="T23" s="44" t="s">
        <v>7</v>
      </c>
      <c r="U23" s="44" t="s">
        <v>7</v>
      </c>
      <c r="V23" s="44" t="s">
        <v>5</v>
      </c>
      <c r="W23" s="44" t="s">
        <v>7</v>
      </c>
      <c r="X23" s="44"/>
      <c r="Y23" s="44" t="s">
        <v>7</v>
      </c>
      <c r="Z23" s="44"/>
      <c r="AA23" s="44"/>
      <c r="AB23" s="44" t="s">
        <v>7</v>
      </c>
      <c r="AC23" s="44"/>
      <c r="AD23" s="44"/>
      <c r="AE23" s="45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.95">
      <c r="A24" s="7"/>
      <c r="B24" s="98"/>
      <c r="C24" s="14">
        <v>16</v>
      </c>
      <c r="D24" s="36" t="s">
        <v>38</v>
      </c>
      <c r="E24" s="57" t="s">
        <v>84</v>
      </c>
      <c r="F24" s="20">
        <f t="shared" si="0"/>
        <v>-2</v>
      </c>
      <c r="G24" s="39"/>
      <c r="H24" s="21">
        <f t="shared" si="1"/>
        <v>-11</v>
      </c>
      <c r="I24" s="41"/>
      <c r="J24" s="22">
        <f t="shared" si="2"/>
        <v>2</v>
      </c>
      <c r="K24" s="23">
        <f t="shared" si="3"/>
        <v>11</v>
      </c>
      <c r="L24" s="46" t="s">
        <v>7</v>
      </c>
      <c r="M24" s="44"/>
      <c r="N24" s="44"/>
      <c r="O24" s="44"/>
      <c r="P24" s="44" t="s">
        <v>7</v>
      </c>
      <c r="Q24" s="46" t="s">
        <v>7</v>
      </c>
      <c r="R24" s="46" t="s">
        <v>5</v>
      </c>
      <c r="S24" s="44"/>
      <c r="T24" s="44" t="s">
        <v>7</v>
      </c>
      <c r="U24" s="44" t="s">
        <v>7</v>
      </c>
      <c r="V24" s="44"/>
      <c r="W24" s="44" t="s">
        <v>7</v>
      </c>
      <c r="X24" s="44" t="s">
        <v>7</v>
      </c>
      <c r="Y24" s="44" t="s">
        <v>7</v>
      </c>
      <c r="Z24" s="44" t="s">
        <v>7</v>
      </c>
      <c r="AA24" s="44"/>
      <c r="AB24" s="44" t="s">
        <v>5</v>
      </c>
      <c r="AC24" s="44"/>
      <c r="AD24" s="44" t="s">
        <v>7</v>
      </c>
      <c r="AE24" s="44" t="s">
        <v>7</v>
      </c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.95">
      <c r="A25" s="7"/>
      <c r="B25" s="98"/>
      <c r="C25" s="15">
        <v>17</v>
      </c>
      <c r="D25" s="37"/>
      <c r="E25" s="57" t="s">
        <v>85</v>
      </c>
      <c r="F25" s="20">
        <f t="shared" si="0"/>
        <v>0</v>
      </c>
      <c r="G25" s="39"/>
      <c r="H25" s="21">
        <f t="shared" si="1"/>
        <v>-5</v>
      </c>
      <c r="I25" s="41"/>
      <c r="J25" s="22">
        <f t="shared" si="2"/>
        <v>0</v>
      </c>
      <c r="K25" s="23">
        <f t="shared" si="3"/>
        <v>5</v>
      </c>
      <c r="L25" s="46" t="s">
        <v>7</v>
      </c>
      <c r="M25" s="44"/>
      <c r="N25" s="44"/>
      <c r="O25" s="44"/>
      <c r="P25" s="44" t="s">
        <v>7</v>
      </c>
      <c r="Q25" s="44"/>
      <c r="R25" s="44"/>
      <c r="S25" s="44" t="s">
        <v>7</v>
      </c>
      <c r="T25" s="44" t="s">
        <v>7</v>
      </c>
      <c r="U25" s="44" t="s">
        <v>7</v>
      </c>
      <c r="V25" s="44"/>
      <c r="W25" s="44"/>
      <c r="X25" s="44"/>
      <c r="Y25" s="44"/>
      <c r="Z25" s="44"/>
      <c r="AA25" s="44"/>
      <c r="AB25" s="44"/>
      <c r="AC25" s="44"/>
      <c r="AD25" s="44"/>
      <c r="AE25" s="45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30">
      <c r="A26" s="7"/>
      <c r="B26" s="98"/>
      <c r="C26" s="14">
        <v>18</v>
      </c>
      <c r="D26" s="36" t="s">
        <v>38</v>
      </c>
      <c r="E26" s="57" t="s">
        <v>86</v>
      </c>
      <c r="F26" s="20">
        <f t="shared" si="0"/>
        <v>-4</v>
      </c>
      <c r="G26" s="39"/>
      <c r="H26" s="21">
        <f t="shared" si="1"/>
        <v>-10</v>
      </c>
      <c r="I26" s="41"/>
      <c r="J26" s="22">
        <f t="shared" si="2"/>
        <v>4</v>
      </c>
      <c r="K26" s="23">
        <f t="shared" si="3"/>
        <v>10</v>
      </c>
      <c r="L26" s="46" t="s">
        <v>5</v>
      </c>
      <c r="M26" s="44"/>
      <c r="N26" s="44" t="s">
        <v>7</v>
      </c>
      <c r="O26" s="44"/>
      <c r="P26" s="44" t="s">
        <v>7</v>
      </c>
      <c r="Q26" s="46" t="s">
        <v>7</v>
      </c>
      <c r="R26" s="46" t="s">
        <v>5</v>
      </c>
      <c r="S26" s="44" t="s">
        <v>7</v>
      </c>
      <c r="T26" s="44" t="s">
        <v>5</v>
      </c>
      <c r="U26" s="44" t="s">
        <v>7</v>
      </c>
      <c r="V26" s="44" t="s">
        <v>7</v>
      </c>
      <c r="W26" s="44" t="s">
        <v>7</v>
      </c>
      <c r="X26" s="44"/>
      <c r="Y26" s="44" t="s">
        <v>7</v>
      </c>
      <c r="Z26" s="44" t="s">
        <v>7</v>
      </c>
      <c r="AA26" s="44"/>
      <c r="AB26" s="44" t="s">
        <v>5</v>
      </c>
      <c r="AC26" s="44"/>
      <c r="AD26" s="44" t="s">
        <v>7</v>
      </c>
      <c r="AE26" s="45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.95">
      <c r="A27" s="7"/>
      <c r="B27" s="98"/>
      <c r="C27" s="14">
        <v>19</v>
      </c>
      <c r="D27" s="36" t="s">
        <v>38</v>
      </c>
      <c r="E27" s="57" t="s">
        <v>87</v>
      </c>
      <c r="F27" s="20">
        <f t="shared" si="0"/>
        <v>-5</v>
      </c>
      <c r="G27" s="39"/>
      <c r="H27" s="21">
        <f t="shared" si="1"/>
        <v>-8</v>
      </c>
      <c r="I27" s="41"/>
      <c r="J27" s="22">
        <f t="shared" si="2"/>
        <v>5</v>
      </c>
      <c r="K27" s="23">
        <f t="shared" si="3"/>
        <v>8</v>
      </c>
      <c r="L27" s="46" t="s">
        <v>7</v>
      </c>
      <c r="M27" s="44"/>
      <c r="N27" s="44" t="s">
        <v>7</v>
      </c>
      <c r="O27" s="44"/>
      <c r="P27" s="44" t="s">
        <v>7</v>
      </c>
      <c r="Q27" s="44"/>
      <c r="R27" s="46" t="s">
        <v>5</v>
      </c>
      <c r="S27" s="44"/>
      <c r="T27" s="44" t="s">
        <v>5</v>
      </c>
      <c r="U27" s="44" t="s">
        <v>7</v>
      </c>
      <c r="V27" s="44" t="s">
        <v>7</v>
      </c>
      <c r="W27" s="44" t="s">
        <v>7</v>
      </c>
      <c r="X27" s="44" t="s">
        <v>5</v>
      </c>
      <c r="Y27" s="44" t="s">
        <v>5</v>
      </c>
      <c r="Z27" s="44" t="s">
        <v>7</v>
      </c>
      <c r="AA27" s="44"/>
      <c r="AB27" s="44" t="s">
        <v>5</v>
      </c>
      <c r="AC27" s="44"/>
      <c r="AD27" s="44"/>
      <c r="AE27" s="44" t="s">
        <v>7</v>
      </c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27">
      <c r="A28" s="7"/>
      <c r="B28" s="98"/>
      <c r="C28" s="15">
        <v>20</v>
      </c>
      <c r="D28" s="37" t="s">
        <v>38</v>
      </c>
      <c r="E28" s="57" t="s">
        <v>88</v>
      </c>
      <c r="F28" s="20">
        <f t="shared" si="0"/>
        <v>-8</v>
      </c>
      <c r="G28" s="39"/>
      <c r="H28" s="21">
        <f t="shared" si="1"/>
        <v>-8</v>
      </c>
      <c r="I28" s="41"/>
      <c r="J28" s="22">
        <f t="shared" si="2"/>
        <v>8</v>
      </c>
      <c r="K28" s="23">
        <f t="shared" si="3"/>
        <v>8</v>
      </c>
      <c r="L28" s="46" t="s">
        <v>5</v>
      </c>
      <c r="M28" s="44"/>
      <c r="N28" s="44" t="s">
        <v>5</v>
      </c>
      <c r="O28" s="44"/>
      <c r="P28" s="44" t="s">
        <v>5</v>
      </c>
      <c r="Q28" s="44" t="s">
        <v>5</v>
      </c>
      <c r="R28" s="46" t="s">
        <v>7</v>
      </c>
      <c r="S28" s="44" t="s">
        <v>7</v>
      </c>
      <c r="T28" s="44" t="s">
        <v>7</v>
      </c>
      <c r="U28" s="44" t="s">
        <v>7</v>
      </c>
      <c r="V28" s="44" t="s">
        <v>5</v>
      </c>
      <c r="W28" s="44" t="s">
        <v>5</v>
      </c>
      <c r="X28" s="44" t="s">
        <v>7</v>
      </c>
      <c r="Y28" s="44" t="s">
        <v>7</v>
      </c>
      <c r="Z28" s="44" t="s">
        <v>5</v>
      </c>
      <c r="AA28" s="44"/>
      <c r="AB28" s="44" t="s">
        <v>5</v>
      </c>
      <c r="AC28" s="44"/>
      <c r="AD28" s="44" t="s">
        <v>7</v>
      </c>
      <c r="AE28" s="44" t="s">
        <v>7</v>
      </c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.95">
      <c r="A29" s="7"/>
      <c r="B29" s="98"/>
      <c r="C29" s="14">
        <v>21</v>
      </c>
      <c r="D29" s="36" t="s">
        <v>38</v>
      </c>
      <c r="E29" s="57" t="s">
        <v>89</v>
      </c>
      <c r="F29" s="20">
        <f t="shared" si="0"/>
        <v>-7</v>
      </c>
      <c r="G29" s="39"/>
      <c r="H29" s="21">
        <f t="shared" si="1"/>
        <v>-4</v>
      </c>
      <c r="I29" s="41"/>
      <c r="J29" s="22">
        <f t="shared" si="2"/>
        <v>7</v>
      </c>
      <c r="K29" s="23">
        <f t="shared" si="3"/>
        <v>4</v>
      </c>
      <c r="L29" s="46" t="s">
        <v>5</v>
      </c>
      <c r="M29" s="44"/>
      <c r="N29" s="44" t="s">
        <v>5</v>
      </c>
      <c r="O29" s="44"/>
      <c r="P29" s="44" t="s">
        <v>7</v>
      </c>
      <c r="Q29" s="44"/>
      <c r="R29" s="46" t="s">
        <v>5</v>
      </c>
      <c r="S29" s="44"/>
      <c r="T29" s="44" t="s">
        <v>5</v>
      </c>
      <c r="U29" s="44"/>
      <c r="V29" s="44" t="s">
        <v>7</v>
      </c>
      <c r="W29" s="44" t="s">
        <v>5</v>
      </c>
      <c r="X29" s="44"/>
      <c r="Y29" s="44" t="s">
        <v>7</v>
      </c>
      <c r="Z29" s="44" t="s">
        <v>5</v>
      </c>
      <c r="AA29" s="44"/>
      <c r="AB29" s="44" t="s">
        <v>5</v>
      </c>
      <c r="AC29" s="44"/>
      <c r="AD29" s="44"/>
      <c r="AE29" s="44" t="s">
        <v>7</v>
      </c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.95">
      <c r="A30" s="7"/>
      <c r="B30" s="98"/>
      <c r="C30" s="15">
        <v>22</v>
      </c>
      <c r="D30" s="37"/>
      <c r="E30" s="57" t="s">
        <v>90</v>
      </c>
      <c r="F30" s="20">
        <f t="shared" si="0"/>
        <v>-2</v>
      </c>
      <c r="G30" s="39"/>
      <c r="H30" s="21">
        <f t="shared" si="1"/>
        <v>-10</v>
      </c>
      <c r="I30" s="41"/>
      <c r="J30" s="22">
        <f t="shared" si="2"/>
        <v>2</v>
      </c>
      <c r="K30" s="23">
        <f t="shared" si="3"/>
        <v>10</v>
      </c>
      <c r="L30" s="46" t="s">
        <v>7</v>
      </c>
      <c r="M30" s="44"/>
      <c r="N30" s="44" t="s">
        <v>7</v>
      </c>
      <c r="O30" s="44"/>
      <c r="P30" s="44" t="s">
        <v>7</v>
      </c>
      <c r="Q30" s="44"/>
      <c r="R30" s="46" t="s">
        <v>7</v>
      </c>
      <c r="S30" s="44" t="s">
        <v>7</v>
      </c>
      <c r="T30" s="44" t="s">
        <v>7</v>
      </c>
      <c r="U30" s="44" t="s">
        <v>7</v>
      </c>
      <c r="V30" s="44" t="s">
        <v>7</v>
      </c>
      <c r="W30" s="44" t="s">
        <v>5</v>
      </c>
      <c r="X30" s="44"/>
      <c r="Y30" s="44" t="s">
        <v>7</v>
      </c>
      <c r="Z30" s="44" t="s">
        <v>5</v>
      </c>
      <c r="AA30" s="44"/>
      <c r="AB30" s="44" t="s">
        <v>7</v>
      </c>
      <c r="AC30" s="44"/>
      <c r="AD30" s="44"/>
      <c r="AE30" s="45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.95">
      <c r="A31" s="7"/>
      <c r="B31" s="98"/>
      <c r="C31" s="14">
        <v>23</v>
      </c>
      <c r="D31" s="36"/>
      <c r="E31" s="57" t="s">
        <v>91</v>
      </c>
      <c r="F31" s="20">
        <f t="shared" si="0"/>
        <v>-2</v>
      </c>
      <c r="G31" s="39"/>
      <c r="H31" s="21">
        <f t="shared" si="1"/>
        <v>-8</v>
      </c>
      <c r="I31" s="41"/>
      <c r="J31" s="22">
        <f t="shared" si="2"/>
        <v>2</v>
      </c>
      <c r="K31" s="23">
        <f t="shared" si="3"/>
        <v>8</v>
      </c>
      <c r="L31" s="46" t="s">
        <v>7</v>
      </c>
      <c r="M31" s="44"/>
      <c r="N31" s="44" t="s">
        <v>5</v>
      </c>
      <c r="O31" s="44"/>
      <c r="P31" s="44" t="s">
        <v>7</v>
      </c>
      <c r="Q31" s="44"/>
      <c r="R31" s="46" t="s">
        <v>5</v>
      </c>
      <c r="S31" s="44"/>
      <c r="T31" s="44" t="s">
        <v>7</v>
      </c>
      <c r="U31" s="44" t="s">
        <v>7</v>
      </c>
      <c r="V31" s="44" t="s">
        <v>7</v>
      </c>
      <c r="W31" s="44"/>
      <c r="X31" s="44"/>
      <c r="Y31" s="44"/>
      <c r="Z31" s="44" t="s">
        <v>7</v>
      </c>
      <c r="AA31" s="44"/>
      <c r="AB31" s="44" t="s">
        <v>7</v>
      </c>
      <c r="AC31" s="44"/>
      <c r="AD31" s="44"/>
      <c r="AE31" s="45" t="s">
        <v>7</v>
      </c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30">
      <c r="A32" s="7"/>
      <c r="B32" s="98"/>
      <c r="C32" s="15">
        <v>24</v>
      </c>
      <c r="D32" s="37"/>
      <c r="E32" s="57" t="s">
        <v>92</v>
      </c>
      <c r="F32" s="20">
        <f t="shared" si="0"/>
        <v>-3</v>
      </c>
      <c r="G32" s="39"/>
      <c r="H32" s="21">
        <f t="shared" si="1"/>
        <v>-9</v>
      </c>
      <c r="I32" s="41"/>
      <c r="J32" s="22">
        <f t="shared" si="2"/>
        <v>3</v>
      </c>
      <c r="K32" s="23">
        <f t="shared" si="3"/>
        <v>9</v>
      </c>
      <c r="L32" s="46" t="s">
        <v>5</v>
      </c>
      <c r="M32" s="44"/>
      <c r="N32" s="44" t="s">
        <v>5</v>
      </c>
      <c r="O32" s="44"/>
      <c r="P32" s="44" t="s">
        <v>7</v>
      </c>
      <c r="Q32" s="44" t="s">
        <v>7</v>
      </c>
      <c r="R32" s="44"/>
      <c r="S32" s="44" t="s">
        <v>7</v>
      </c>
      <c r="T32" s="44" t="s">
        <v>7</v>
      </c>
      <c r="U32" s="44" t="s">
        <v>7</v>
      </c>
      <c r="V32" s="44" t="s">
        <v>7</v>
      </c>
      <c r="W32" s="44" t="s">
        <v>7</v>
      </c>
      <c r="X32" s="44"/>
      <c r="Y32" s="44"/>
      <c r="Z32" s="44" t="s">
        <v>5</v>
      </c>
      <c r="AA32" s="44"/>
      <c r="AB32" s="44" t="s">
        <v>7</v>
      </c>
      <c r="AC32" s="44"/>
      <c r="AD32" s="44"/>
      <c r="AE32" s="45" t="s">
        <v>7</v>
      </c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.95">
      <c r="A33" s="7"/>
      <c r="B33" s="98"/>
      <c r="C33" s="14">
        <v>25</v>
      </c>
      <c r="D33" s="36"/>
      <c r="E33" s="57" t="s">
        <v>93</v>
      </c>
      <c r="F33" s="20">
        <f t="shared" si="0"/>
        <v>0</v>
      </c>
      <c r="G33" s="39"/>
      <c r="H33" s="21">
        <f t="shared" si="1"/>
        <v>-4</v>
      </c>
      <c r="I33" s="41"/>
      <c r="J33" s="22">
        <f t="shared" si="2"/>
        <v>0</v>
      </c>
      <c r="K33" s="23">
        <f t="shared" si="3"/>
        <v>4</v>
      </c>
      <c r="L33" s="46"/>
      <c r="M33" s="44"/>
      <c r="N33" s="44" t="s">
        <v>7</v>
      </c>
      <c r="O33" s="44"/>
      <c r="P33" s="44" t="s">
        <v>7</v>
      </c>
      <c r="Q33" s="44"/>
      <c r="R33" s="44"/>
      <c r="S33" s="44"/>
      <c r="T33" s="44" t="s">
        <v>7</v>
      </c>
      <c r="U33" s="44"/>
      <c r="V33" s="44"/>
      <c r="W33" s="44"/>
      <c r="X33" s="44"/>
      <c r="Y33" s="44"/>
      <c r="Z33" s="44"/>
      <c r="AA33" s="44"/>
      <c r="AB33" s="44" t="s">
        <v>7</v>
      </c>
      <c r="AC33" s="44"/>
      <c r="AD33" s="44"/>
      <c r="AE33" s="45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.95">
      <c r="A34" s="7"/>
      <c r="B34" s="98"/>
      <c r="C34" s="15">
        <v>26</v>
      </c>
      <c r="D34" s="37"/>
      <c r="E34" s="57" t="s">
        <v>94</v>
      </c>
      <c r="F34" s="20">
        <f t="shared" si="0"/>
        <v>-1</v>
      </c>
      <c r="G34" s="39"/>
      <c r="H34" s="21">
        <f t="shared" si="1"/>
        <v>-7</v>
      </c>
      <c r="I34" s="41"/>
      <c r="J34" s="22">
        <f t="shared" si="2"/>
        <v>1</v>
      </c>
      <c r="K34" s="23">
        <f t="shared" si="3"/>
        <v>7</v>
      </c>
      <c r="L34" s="46" t="s">
        <v>7</v>
      </c>
      <c r="M34" s="44"/>
      <c r="N34" s="44" t="s">
        <v>7</v>
      </c>
      <c r="O34" s="44"/>
      <c r="P34" s="44" t="s">
        <v>7</v>
      </c>
      <c r="Q34" s="44"/>
      <c r="R34" s="46" t="s">
        <v>5</v>
      </c>
      <c r="S34" s="44"/>
      <c r="T34" s="44" t="s">
        <v>7</v>
      </c>
      <c r="U34" s="44" t="s">
        <v>7</v>
      </c>
      <c r="V34" s="44" t="s">
        <v>7</v>
      </c>
      <c r="W34" s="44"/>
      <c r="X34" s="44"/>
      <c r="Y34" s="44"/>
      <c r="Z34" s="44"/>
      <c r="AA34" s="44"/>
      <c r="AB34" s="44" t="s">
        <v>7</v>
      </c>
      <c r="AC34" s="44"/>
      <c r="AD34" s="44"/>
      <c r="AE34" s="45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.95">
      <c r="A35" s="7"/>
      <c r="B35" s="98"/>
      <c r="C35" s="14">
        <v>27</v>
      </c>
      <c r="D35" s="36"/>
      <c r="E35" s="57" t="s">
        <v>95</v>
      </c>
      <c r="F35" s="20">
        <f t="shared" si="0"/>
        <v>-1</v>
      </c>
      <c r="G35" s="39"/>
      <c r="H35" s="21">
        <f t="shared" si="1"/>
        <v>-3</v>
      </c>
      <c r="I35" s="41"/>
      <c r="J35" s="22">
        <f t="shared" si="2"/>
        <v>1</v>
      </c>
      <c r="K35" s="23">
        <f t="shared" si="3"/>
        <v>3</v>
      </c>
      <c r="L35" s="46"/>
      <c r="M35" s="44"/>
      <c r="N35" s="44"/>
      <c r="O35" s="44"/>
      <c r="P35" s="44" t="s">
        <v>7</v>
      </c>
      <c r="Q35" s="44"/>
      <c r="R35" s="46" t="s">
        <v>5</v>
      </c>
      <c r="S35" s="44"/>
      <c r="T35" s="44" t="s">
        <v>7</v>
      </c>
      <c r="U35" s="44" t="s">
        <v>7</v>
      </c>
      <c r="V35" s="44"/>
      <c r="W35" s="44"/>
      <c r="X35" s="44"/>
      <c r="Y35" s="44"/>
      <c r="Z35" s="44"/>
      <c r="AA35" s="44"/>
      <c r="AB35" s="44"/>
      <c r="AC35" s="44"/>
      <c r="AD35" s="44"/>
      <c r="AE35" s="45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.95">
      <c r="A36" s="7"/>
      <c r="B36" s="98"/>
      <c r="C36" s="14">
        <v>28</v>
      </c>
      <c r="D36" s="36" t="s">
        <v>38</v>
      </c>
      <c r="E36" s="57" t="s">
        <v>96</v>
      </c>
      <c r="F36" s="20">
        <f t="shared" si="0"/>
        <v>-3</v>
      </c>
      <c r="G36" s="39"/>
      <c r="H36" s="21">
        <f t="shared" si="1"/>
        <v>-8</v>
      </c>
      <c r="I36" s="41"/>
      <c r="J36" s="22">
        <f t="shared" si="2"/>
        <v>3</v>
      </c>
      <c r="K36" s="23">
        <f t="shared" si="3"/>
        <v>8</v>
      </c>
      <c r="L36" s="46" t="s">
        <v>7</v>
      </c>
      <c r="M36" s="44"/>
      <c r="N36" s="44" t="s">
        <v>7</v>
      </c>
      <c r="O36" s="44"/>
      <c r="P36" s="44" t="s">
        <v>7</v>
      </c>
      <c r="Q36" s="44"/>
      <c r="R36" s="46" t="s">
        <v>5</v>
      </c>
      <c r="S36" s="44"/>
      <c r="T36" s="44" t="s">
        <v>5</v>
      </c>
      <c r="U36" s="44"/>
      <c r="V36" s="44" t="s">
        <v>5</v>
      </c>
      <c r="W36" s="44" t="s">
        <v>7</v>
      </c>
      <c r="X36" s="44"/>
      <c r="Y36" s="44" t="s">
        <v>7</v>
      </c>
      <c r="Z36" s="44" t="s">
        <v>7</v>
      </c>
      <c r="AA36" s="44"/>
      <c r="AB36" s="44" t="s">
        <v>7</v>
      </c>
      <c r="AC36" s="44"/>
      <c r="AD36" s="44"/>
      <c r="AE36" s="44" t="s">
        <v>7</v>
      </c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.95">
      <c r="A37" s="7"/>
      <c r="B37" s="98"/>
      <c r="C37" s="15">
        <v>29</v>
      </c>
      <c r="D37" s="37"/>
      <c r="E37" s="57" t="s">
        <v>97</v>
      </c>
      <c r="F37" s="20">
        <f t="shared" si="0"/>
        <v>0</v>
      </c>
      <c r="G37" s="39"/>
      <c r="H37" s="21">
        <f t="shared" si="1"/>
        <v>-5</v>
      </c>
      <c r="I37" s="41"/>
      <c r="J37" s="22">
        <f t="shared" si="2"/>
        <v>0</v>
      </c>
      <c r="K37" s="23">
        <f t="shared" si="3"/>
        <v>5</v>
      </c>
      <c r="L37" s="46" t="s">
        <v>7</v>
      </c>
      <c r="M37" s="44"/>
      <c r="N37" s="44" t="s">
        <v>7</v>
      </c>
      <c r="O37" s="44"/>
      <c r="P37" s="44" t="s">
        <v>7</v>
      </c>
      <c r="Q37" s="44"/>
      <c r="R37" s="46" t="s">
        <v>7</v>
      </c>
      <c r="S37" s="44"/>
      <c r="T37" s="44" t="s">
        <v>7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5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.95">
      <c r="A38" s="7"/>
      <c r="B38" s="98"/>
      <c r="C38" s="59">
        <v>30</v>
      </c>
      <c r="D38" s="60" t="s">
        <v>38</v>
      </c>
      <c r="E38" s="61" t="s">
        <v>98</v>
      </c>
      <c r="F38" s="20"/>
      <c r="G38" s="62"/>
      <c r="H38" s="21"/>
      <c r="I38" s="63"/>
      <c r="J38" s="64"/>
      <c r="K38" s="65"/>
      <c r="L38" s="66" t="s">
        <v>7</v>
      </c>
      <c r="M38" s="67"/>
      <c r="N38" s="67" t="s">
        <v>5</v>
      </c>
      <c r="O38" s="67"/>
      <c r="P38" s="67" t="s">
        <v>7</v>
      </c>
      <c r="Q38" s="46" t="s">
        <v>7</v>
      </c>
      <c r="R38" s="46" t="s">
        <v>5</v>
      </c>
      <c r="S38" s="67" t="s">
        <v>7</v>
      </c>
      <c r="T38" s="67" t="s">
        <v>5</v>
      </c>
      <c r="U38" s="67" t="s">
        <v>7</v>
      </c>
      <c r="V38" s="67" t="s">
        <v>7</v>
      </c>
      <c r="W38" s="67" t="s">
        <v>7</v>
      </c>
      <c r="X38" s="67" t="s">
        <v>7</v>
      </c>
      <c r="Y38" s="67" t="s">
        <v>7</v>
      </c>
      <c r="Z38" s="67" t="s">
        <v>7</v>
      </c>
      <c r="AA38" s="67"/>
      <c r="AB38" s="67" t="s">
        <v>5</v>
      </c>
      <c r="AC38" s="67"/>
      <c r="AD38" s="67"/>
      <c r="AE38" s="44" t="s">
        <v>7</v>
      </c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24.75" customHeight="1">
      <c r="A39" s="7"/>
      <c r="B39" s="98"/>
      <c r="C39" s="59">
        <v>31</v>
      </c>
      <c r="D39" s="60" t="s">
        <v>38</v>
      </c>
      <c r="E39" s="61" t="s">
        <v>99</v>
      </c>
      <c r="F39" s="20"/>
      <c r="G39" s="62"/>
      <c r="H39" s="21"/>
      <c r="I39" s="63"/>
      <c r="J39" s="64"/>
      <c r="K39" s="65"/>
      <c r="L39" s="66" t="s">
        <v>7</v>
      </c>
      <c r="M39" s="67"/>
      <c r="N39" s="67" t="s">
        <v>7</v>
      </c>
      <c r="O39" s="67"/>
      <c r="P39" s="67" t="s">
        <v>7</v>
      </c>
      <c r="Q39" s="44" t="s">
        <v>7</v>
      </c>
      <c r="R39" s="46" t="s">
        <v>5</v>
      </c>
      <c r="S39" s="67" t="s">
        <v>7</v>
      </c>
      <c r="T39" s="67" t="s">
        <v>7</v>
      </c>
      <c r="U39" s="67" t="s">
        <v>7</v>
      </c>
      <c r="V39" s="67" t="s">
        <v>7</v>
      </c>
      <c r="W39" s="67" t="s">
        <v>7</v>
      </c>
      <c r="X39" s="67"/>
      <c r="Y39" s="67"/>
      <c r="Z39" s="67" t="s">
        <v>7</v>
      </c>
      <c r="AA39" s="67"/>
      <c r="AB39" s="67" t="s">
        <v>7</v>
      </c>
      <c r="AC39" s="67"/>
      <c r="AD39" s="67"/>
      <c r="AE39" s="68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.95">
      <c r="A40" s="7"/>
      <c r="B40" s="98"/>
      <c r="C40" s="59">
        <v>32</v>
      </c>
      <c r="D40" s="60"/>
      <c r="E40" s="61" t="s">
        <v>100</v>
      </c>
      <c r="F40" s="20"/>
      <c r="G40" s="62"/>
      <c r="H40" s="21"/>
      <c r="I40" s="63"/>
      <c r="J40" s="64"/>
      <c r="K40" s="65"/>
      <c r="L40" s="66" t="s">
        <v>7</v>
      </c>
      <c r="M40" s="67"/>
      <c r="N40" s="67" t="s">
        <v>7</v>
      </c>
      <c r="O40" s="67"/>
      <c r="P40" s="67" t="s">
        <v>7</v>
      </c>
      <c r="Q40" s="44" t="s">
        <v>7</v>
      </c>
      <c r="R40" s="46" t="s">
        <v>5</v>
      </c>
      <c r="S40" s="67" t="s">
        <v>7</v>
      </c>
      <c r="T40" s="67" t="s">
        <v>7</v>
      </c>
      <c r="U40" s="67" t="s">
        <v>7</v>
      </c>
      <c r="V40" s="67" t="s">
        <v>7</v>
      </c>
      <c r="W40" s="67" t="s">
        <v>7</v>
      </c>
      <c r="X40" s="67" t="s">
        <v>7</v>
      </c>
      <c r="Y40" s="67" t="s">
        <v>7</v>
      </c>
      <c r="Z40" s="67" t="s">
        <v>7</v>
      </c>
      <c r="AA40" s="67"/>
      <c r="AB40" s="67"/>
      <c r="AC40" s="67"/>
      <c r="AD40" s="67"/>
      <c r="AE40" s="68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.95">
      <c r="A41" s="7"/>
      <c r="B41" s="98"/>
      <c r="C41" s="59">
        <v>33</v>
      </c>
      <c r="D41" s="60"/>
      <c r="E41" s="61" t="s">
        <v>101</v>
      </c>
      <c r="F41" s="20"/>
      <c r="G41" s="62"/>
      <c r="H41" s="21"/>
      <c r="I41" s="63"/>
      <c r="J41" s="64"/>
      <c r="K41" s="65"/>
      <c r="L41" s="66" t="s">
        <v>7</v>
      </c>
      <c r="M41" s="67"/>
      <c r="N41" s="67" t="s">
        <v>5</v>
      </c>
      <c r="O41" s="67"/>
      <c r="P41" s="67" t="s">
        <v>7</v>
      </c>
      <c r="Q41" s="67"/>
      <c r="R41" s="46" t="s">
        <v>5</v>
      </c>
      <c r="S41" s="67"/>
      <c r="T41" s="67" t="s">
        <v>7</v>
      </c>
      <c r="U41" s="67" t="s">
        <v>7</v>
      </c>
      <c r="V41" s="67" t="s">
        <v>7</v>
      </c>
      <c r="W41" s="67"/>
      <c r="X41" s="67"/>
      <c r="Y41" s="67"/>
      <c r="Z41" s="67" t="s">
        <v>7</v>
      </c>
      <c r="AA41" s="67"/>
      <c r="AB41" s="67" t="s">
        <v>7</v>
      </c>
      <c r="AC41" s="67"/>
      <c r="AD41" s="67"/>
      <c r="AE41" s="68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.95">
      <c r="A42" s="7"/>
      <c r="B42" s="98"/>
      <c r="C42" s="59">
        <v>34</v>
      </c>
      <c r="D42" s="60" t="s">
        <v>38</v>
      </c>
      <c r="E42" s="61" t="s">
        <v>102</v>
      </c>
      <c r="F42" s="20"/>
      <c r="G42" s="62"/>
      <c r="H42" s="21"/>
      <c r="I42" s="63"/>
      <c r="J42" s="64"/>
      <c r="K42" s="65"/>
      <c r="L42" s="66" t="s">
        <v>7</v>
      </c>
      <c r="M42" s="67"/>
      <c r="N42" s="67" t="s">
        <v>7</v>
      </c>
      <c r="O42" s="67"/>
      <c r="P42" s="67" t="s">
        <v>7</v>
      </c>
      <c r="Q42" s="67"/>
      <c r="R42" s="66" t="s">
        <v>7</v>
      </c>
      <c r="S42" s="67"/>
      <c r="T42" s="67" t="s">
        <v>7</v>
      </c>
      <c r="U42" s="67"/>
      <c r="V42" s="67" t="s">
        <v>7</v>
      </c>
      <c r="W42" s="67"/>
      <c r="X42" s="67"/>
      <c r="Y42" s="67"/>
      <c r="Z42" s="67" t="s">
        <v>7</v>
      </c>
      <c r="AA42" s="67"/>
      <c r="AB42" s="67"/>
      <c r="AC42" s="67"/>
      <c r="AD42" s="67"/>
      <c r="AE42" s="68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.95">
      <c r="A43" s="7"/>
      <c r="B43" s="98"/>
      <c r="C43" s="59">
        <v>35</v>
      </c>
      <c r="D43" s="60" t="s">
        <v>38</v>
      </c>
      <c r="E43" s="61" t="s">
        <v>103</v>
      </c>
      <c r="F43" s="20"/>
      <c r="G43" s="62"/>
      <c r="H43" s="21"/>
      <c r="I43" s="63"/>
      <c r="J43" s="64"/>
      <c r="K43" s="65"/>
      <c r="L43" s="66" t="s">
        <v>7</v>
      </c>
      <c r="M43" s="67"/>
      <c r="N43" s="67" t="s">
        <v>7</v>
      </c>
      <c r="O43" s="67"/>
      <c r="P43" s="67" t="s">
        <v>7</v>
      </c>
      <c r="Q43" s="67"/>
      <c r="R43" s="66" t="s">
        <v>7</v>
      </c>
      <c r="S43" s="67" t="s">
        <v>7</v>
      </c>
      <c r="T43" s="67" t="s">
        <v>7</v>
      </c>
      <c r="U43" s="67" t="s">
        <v>7</v>
      </c>
      <c r="V43" s="67" t="s">
        <v>7</v>
      </c>
      <c r="W43" s="67" t="s">
        <v>7</v>
      </c>
      <c r="X43" s="67" t="s">
        <v>7</v>
      </c>
      <c r="Y43" s="67" t="s">
        <v>7</v>
      </c>
      <c r="Z43" s="67" t="s">
        <v>7</v>
      </c>
      <c r="AA43" s="67"/>
      <c r="AB43" s="67" t="s">
        <v>7</v>
      </c>
      <c r="AC43" s="67"/>
      <c r="AD43" s="67" t="s">
        <v>7</v>
      </c>
      <c r="AE43" s="44" t="s">
        <v>7</v>
      </c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.95">
      <c r="A44" s="7"/>
      <c r="B44" s="98"/>
      <c r="C44" s="59">
        <v>36</v>
      </c>
      <c r="D44" s="60" t="s">
        <v>38</v>
      </c>
      <c r="E44" s="61" t="s">
        <v>104</v>
      </c>
      <c r="F44" s="20"/>
      <c r="G44" s="62"/>
      <c r="H44" s="21"/>
      <c r="I44" s="63"/>
      <c r="J44" s="64"/>
      <c r="K44" s="65"/>
      <c r="L44" s="66" t="s">
        <v>7</v>
      </c>
      <c r="M44" s="67"/>
      <c r="N44" s="67" t="s">
        <v>7</v>
      </c>
      <c r="O44" s="67"/>
      <c r="P44" s="67" t="s">
        <v>7</v>
      </c>
      <c r="Q44" s="67"/>
      <c r="R44" s="66" t="s">
        <v>7</v>
      </c>
      <c r="S44" s="67"/>
      <c r="T44" s="67" t="s">
        <v>7</v>
      </c>
      <c r="U44" s="67" t="s">
        <v>7</v>
      </c>
      <c r="V44" s="67" t="s">
        <v>7</v>
      </c>
      <c r="W44" s="67" t="s">
        <v>5</v>
      </c>
      <c r="X44" s="67" t="s">
        <v>7</v>
      </c>
      <c r="Y44" s="67" t="s">
        <v>7</v>
      </c>
      <c r="Z44" s="67"/>
      <c r="AA44" s="67"/>
      <c r="AB44" s="67" t="s">
        <v>7</v>
      </c>
      <c r="AC44" s="67"/>
      <c r="AD44" s="67"/>
      <c r="AE44" s="68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.95">
      <c r="A45" s="7"/>
      <c r="B45" s="98"/>
      <c r="C45" s="59">
        <v>37</v>
      </c>
      <c r="D45" s="60"/>
      <c r="E45" s="61" t="s">
        <v>105</v>
      </c>
      <c r="F45" s="20"/>
      <c r="G45" s="62"/>
      <c r="H45" s="21"/>
      <c r="I45" s="63"/>
      <c r="J45" s="64"/>
      <c r="K45" s="65"/>
      <c r="L45" s="66" t="s">
        <v>7</v>
      </c>
      <c r="M45" s="67"/>
      <c r="N45" s="67" t="s">
        <v>7</v>
      </c>
      <c r="O45" s="67"/>
      <c r="P45" s="67" t="s">
        <v>7</v>
      </c>
      <c r="Q45" s="67"/>
      <c r="R45" s="66" t="s">
        <v>7</v>
      </c>
      <c r="S45" s="67"/>
      <c r="T45" s="67" t="s">
        <v>7</v>
      </c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8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30">
      <c r="A46" s="7"/>
      <c r="B46" s="98"/>
      <c r="C46" s="59">
        <v>38</v>
      </c>
      <c r="D46" s="60"/>
      <c r="E46" s="61" t="s">
        <v>106</v>
      </c>
      <c r="F46" s="20"/>
      <c r="G46" s="62"/>
      <c r="H46" s="21"/>
      <c r="I46" s="63"/>
      <c r="J46" s="64"/>
      <c r="K46" s="65"/>
      <c r="L46" s="66" t="s">
        <v>7</v>
      </c>
      <c r="M46" s="67"/>
      <c r="N46" s="67"/>
      <c r="O46" s="67"/>
      <c r="P46" s="67" t="s">
        <v>7</v>
      </c>
      <c r="Q46" s="67"/>
      <c r="R46" s="66" t="s">
        <v>7</v>
      </c>
      <c r="S46" s="67"/>
      <c r="T46" s="67" t="s">
        <v>7</v>
      </c>
      <c r="U46" s="67" t="s">
        <v>7</v>
      </c>
      <c r="V46" s="67"/>
      <c r="W46" s="67"/>
      <c r="X46" s="67"/>
      <c r="Y46" s="67"/>
      <c r="Z46" s="67"/>
      <c r="AA46" s="67"/>
      <c r="AB46" s="67" t="s">
        <v>7</v>
      </c>
      <c r="AC46" s="67"/>
      <c r="AD46" s="67"/>
      <c r="AE46" s="68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30">
      <c r="A47" s="7"/>
      <c r="B47" s="98"/>
      <c r="C47" s="59">
        <v>39</v>
      </c>
      <c r="D47" s="60"/>
      <c r="E47" s="61" t="s">
        <v>107</v>
      </c>
      <c r="F47" s="20"/>
      <c r="G47" s="62"/>
      <c r="H47" s="21"/>
      <c r="I47" s="63"/>
      <c r="J47" s="64"/>
      <c r="K47" s="65"/>
      <c r="L47" s="66" t="s">
        <v>7</v>
      </c>
      <c r="M47" s="67"/>
      <c r="N47" s="67" t="s">
        <v>7</v>
      </c>
      <c r="O47" s="67"/>
      <c r="P47" s="67" t="s">
        <v>7</v>
      </c>
      <c r="Q47" s="67"/>
      <c r="R47" s="66" t="s">
        <v>7</v>
      </c>
      <c r="S47" s="67"/>
      <c r="T47" s="67" t="s">
        <v>7</v>
      </c>
      <c r="U47" s="67" t="s">
        <v>7</v>
      </c>
      <c r="V47" s="67"/>
      <c r="W47" s="67"/>
      <c r="X47" s="67"/>
      <c r="Y47" s="67"/>
      <c r="Z47" s="67"/>
      <c r="AA47" s="67"/>
      <c r="AB47" s="67" t="s">
        <v>7</v>
      </c>
      <c r="AC47" s="67"/>
      <c r="AD47" s="67"/>
      <c r="AE47" s="68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30">
      <c r="A48" s="7"/>
      <c r="B48" s="98"/>
      <c r="C48" s="59">
        <v>40</v>
      </c>
      <c r="D48" s="60"/>
      <c r="E48" s="61" t="s">
        <v>108</v>
      </c>
      <c r="F48" s="20"/>
      <c r="G48" s="62"/>
      <c r="H48" s="21"/>
      <c r="I48" s="63"/>
      <c r="J48" s="64"/>
      <c r="K48" s="65"/>
      <c r="L48" s="66" t="s">
        <v>7</v>
      </c>
      <c r="M48" s="67"/>
      <c r="N48" s="67" t="s">
        <v>7</v>
      </c>
      <c r="O48" s="67"/>
      <c r="P48" s="67" t="s">
        <v>7</v>
      </c>
      <c r="Q48" s="46" t="s">
        <v>7</v>
      </c>
      <c r="R48" s="46" t="s">
        <v>5</v>
      </c>
      <c r="S48" s="67"/>
      <c r="T48" s="67" t="s">
        <v>7</v>
      </c>
      <c r="U48" s="67" t="s">
        <v>5</v>
      </c>
      <c r="V48" s="67" t="s">
        <v>7</v>
      </c>
      <c r="W48" s="67" t="s">
        <v>7</v>
      </c>
      <c r="X48" s="67" t="s">
        <v>7</v>
      </c>
      <c r="Y48" s="67" t="s">
        <v>7</v>
      </c>
      <c r="Z48" s="67" t="s">
        <v>5</v>
      </c>
      <c r="AA48" s="67"/>
      <c r="AB48" s="67" t="s">
        <v>5</v>
      </c>
      <c r="AC48" s="67"/>
      <c r="AD48" s="67"/>
      <c r="AE48" s="44" t="s">
        <v>7</v>
      </c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30">
      <c r="A49" s="7"/>
      <c r="B49" s="98"/>
      <c r="C49" s="59">
        <v>41</v>
      </c>
      <c r="D49" s="60"/>
      <c r="E49" s="61" t="s">
        <v>109</v>
      </c>
      <c r="F49" s="20"/>
      <c r="G49" s="62"/>
      <c r="H49" s="21"/>
      <c r="I49" s="63"/>
      <c r="J49" s="64"/>
      <c r="K49" s="65"/>
      <c r="L49" s="66" t="s">
        <v>7</v>
      </c>
      <c r="M49" s="67"/>
      <c r="N49" s="67" t="s">
        <v>7</v>
      </c>
      <c r="O49" s="67"/>
      <c r="P49" s="67" t="s">
        <v>7</v>
      </c>
      <c r="Q49" s="67"/>
      <c r="R49" s="67"/>
      <c r="S49" s="67" t="s">
        <v>7</v>
      </c>
      <c r="T49" s="67" t="s">
        <v>7</v>
      </c>
      <c r="U49" s="67" t="s">
        <v>7</v>
      </c>
      <c r="V49" s="67" t="s">
        <v>7</v>
      </c>
      <c r="W49" s="67"/>
      <c r="X49" s="67"/>
      <c r="Y49" s="67"/>
      <c r="Z49" s="67" t="s">
        <v>7</v>
      </c>
      <c r="AA49" s="67"/>
      <c r="AB49" s="67"/>
      <c r="AC49" s="67"/>
      <c r="AD49" s="67"/>
      <c r="AE49" s="68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.95">
      <c r="A50" s="7"/>
      <c r="B50" s="98"/>
      <c r="C50" s="59">
        <v>42</v>
      </c>
      <c r="D50" s="60"/>
      <c r="E50" s="61" t="s">
        <v>110</v>
      </c>
      <c r="F50" s="20"/>
      <c r="G50" s="62"/>
      <c r="H50" s="21"/>
      <c r="I50" s="63"/>
      <c r="J50" s="64"/>
      <c r="K50" s="65"/>
      <c r="L50" s="66" t="s">
        <v>5</v>
      </c>
      <c r="M50" s="67"/>
      <c r="N50" s="67" t="s">
        <v>7</v>
      </c>
      <c r="O50" s="67"/>
      <c r="P50" s="67" t="s">
        <v>7</v>
      </c>
      <c r="Q50" s="67"/>
      <c r="R50" s="66" t="s">
        <v>7</v>
      </c>
      <c r="S50" s="67" t="s">
        <v>7</v>
      </c>
      <c r="T50" s="67" t="s">
        <v>7</v>
      </c>
      <c r="U50" s="67" t="s">
        <v>7</v>
      </c>
      <c r="V50" s="67" t="s">
        <v>7</v>
      </c>
      <c r="W50" s="67"/>
      <c r="X50" s="67"/>
      <c r="Y50" s="67"/>
      <c r="Z50" s="67" t="s">
        <v>7</v>
      </c>
      <c r="AA50" s="67"/>
      <c r="AB50" s="67"/>
      <c r="AC50" s="67"/>
      <c r="AD50" s="67"/>
      <c r="AE50" s="68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.95">
      <c r="A51" s="7"/>
      <c r="B51" s="98"/>
      <c r="C51" s="59">
        <v>43</v>
      </c>
      <c r="D51" s="60" t="s">
        <v>38</v>
      </c>
      <c r="E51" s="61" t="s">
        <v>111</v>
      </c>
      <c r="F51" s="20"/>
      <c r="G51" s="62"/>
      <c r="H51" s="21"/>
      <c r="I51" s="63"/>
      <c r="J51" s="64"/>
      <c r="K51" s="65"/>
      <c r="L51" s="66" t="s">
        <v>7</v>
      </c>
      <c r="M51" s="67"/>
      <c r="N51" s="67" t="s">
        <v>7</v>
      </c>
      <c r="O51" s="67"/>
      <c r="P51" s="67" t="s">
        <v>7</v>
      </c>
      <c r="Q51" s="44" t="s">
        <v>7</v>
      </c>
      <c r="R51" s="46" t="s">
        <v>5</v>
      </c>
      <c r="S51" s="67" t="s">
        <v>7</v>
      </c>
      <c r="T51" s="67" t="s">
        <v>7</v>
      </c>
      <c r="U51" s="67" t="s">
        <v>7</v>
      </c>
      <c r="V51" s="67" t="s">
        <v>7</v>
      </c>
      <c r="W51" s="67" t="s">
        <v>7</v>
      </c>
      <c r="X51" s="67"/>
      <c r="Y51" s="67" t="s">
        <v>7</v>
      </c>
      <c r="Z51" s="67" t="s">
        <v>5</v>
      </c>
      <c r="AA51" s="67"/>
      <c r="AB51" s="67" t="s">
        <v>5</v>
      </c>
      <c r="AC51" s="67"/>
      <c r="AD51" s="67" t="s">
        <v>7</v>
      </c>
      <c r="AE51" s="44" t="s">
        <v>7</v>
      </c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27">
      <c r="A52" s="7"/>
      <c r="B52" s="98"/>
      <c r="C52" s="59">
        <v>44</v>
      </c>
      <c r="D52" s="60"/>
      <c r="E52" s="61" t="s">
        <v>112</v>
      </c>
      <c r="F52" s="20"/>
      <c r="G52" s="62"/>
      <c r="H52" s="21"/>
      <c r="I52" s="63"/>
      <c r="J52" s="64"/>
      <c r="K52" s="65"/>
      <c r="L52" s="66" t="s">
        <v>7</v>
      </c>
      <c r="M52" s="67"/>
      <c r="N52" s="67" t="s">
        <v>7</v>
      </c>
      <c r="O52" s="67"/>
      <c r="P52" s="67" t="s">
        <v>7</v>
      </c>
      <c r="Q52" s="67"/>
      <c r="R52" s="67"/>
      <c r="S52" s="67"/>
      <c r="T52" s="67" t="s">
        <v>7</v>
      </c>
      <c r="U52" s="67" t="s">
        <v>7</v>
      </c>
      <c r="V52" s="67" t="s">
        <v>7</v>
      </c>
      <c r="W52" s="67"/>
      <c r="X52" s="67"/>
      <c r="Y52" s="67"/>
      <c r="Z52" s="67" t="s">
        <v>7</v>
      </c>
      <c r="AA52" s="67"/>
      <c r="AB52" s="67"/>
      <c r="AC52" s="67"/>
      <c r="AD52" s="67"/>
      <c r="AE52" s="68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23.25" customHeight="1">
      <c r="A53" s="7"/>
      <c r="B53" s="98"/>
      <c r="C53" s="59"/>
      <c r="D53" s="60"/>
      <c r="E53" s="61"/>
      <c r="F53" s="20"/>
      <c r="G53" s="62"/>
      <c r="H53" s="21"/>
      <c r="I53" s="63"/>
      <c r="J53" s="64"/>
      <c r="K53" s="65"/>
      <c r="L53" s="66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8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23.25" customHeight="1">
      <c r="A54" s="7"/>
      <c r="B54" s="98"/>
      <c r="C54" s="59"/>
      <c r="D54" s="60"/>
      <c r="E54" s="61"/>
      <c r="F54" s="20"/>
      <c r="G54" s="62"/>
      <c r="H54" s="21"/>
      <c r="I54" s="63"/>
      <c r="J54" s="64"/>
      <c r="K54" s="65"/>
      <c r="L54" s="66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8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23.25" customHeight="1">
      <c r="A55" s="7"/>
      <c r="B55" s="98"/>
      <c r="C55" s="59"/>
      <c r="D55" s="60"/>
      <c r="E55" s="61"/>
      <c r="F55" s="20"/>
      <c r="G55" s="62"/>
      <c r="H55" s="21"/>
      <c r="I55" s="63"/>
      <c r="J55" s="64"/>
      <c r="K55" s="65"/>
      <c r="L55" s="66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8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23.25" customHeight="1">
      <c r="A56" s="7"/>
      <c r="B56" s="98"/>
      <c r="C56" s="59"/>
      <c r="D56" s="60"/>
      <c r="E56" s="61"/>
      <c r="F56" s="20"/>
      <c r="G56" s="62"/>
      <c r="H56" s="21"/>
      <c r="I56" s="63"/>
      <c r="J56" s="64"/>
      <c r="K56" s="65"/>
      <c r="L56" s="66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8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23.25" customHeight="1">
      <c r="A57" s="7"/>
      <c r="B57" s="98"/>
      <c r="C57" s="59"/>
      <c r="D57" s="60"/>
      <c r="E57" s="61"/>
      <c r="F57" s="20"/>
      <c r="G57" s="62"/>
      <c r="H57" s="21"/>
      <c r="I57" s="63"/>
      <c r="J57" s="64"/>
      <c r="K57" s="65"/>
      <c r="L57" s="66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8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23.25" customHeight="1">
      <c r="A58" s="7"/>
      <c r="B58" s="98"/>
      <c r="C58" s="59"/>
      <c r="D58" s="60"/>
      <c r="E58" s="61"/>
      <c r="F58" s="20"/>
      <c r="G58" s="62"/>
      <c r="H58" s="21"/>
      <c r="I58" s="63"/>
      <c r="J58" s="64"/>
      <c r="K58" s="65"/>
      <c r="L58" s="66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8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23.25" customHeight="1">
      <c r="A59" s="7"/>
      <c r="B59" s="98"/>
      <c r="C59" s="59"/>
      <c r="D59" s="60"/>
      <c r="E59" s="61"/>
      <c r="F59" s="20"/>
      <c r="G59" s="62"/>
      <c r="H59" s="21"/>
      <c r="I59" s="63"/>
      <c r="J59" s="64"/>
      <c r="K59" s="65"/>
      <c r="L59" s="66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8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23.25" customHeight="1">
      <c r="A60" s="7"/>
      <c r="B60" s="98"/>
      <c r="C60" s="59"/>
      <c r="D60" s="60"/>
      <c r="E60" s="61"/>
      <c r="F60" s="20"/>
      <c r="G60" s="62"/>
      <c r="H60" s="21"/>
      <c r="I60" s="63"/>
      <c r="J60" s="64"/>
      <c r="K60" s="65"/>
      <c r="L60" s="66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8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23.25" customHeight="1">
      <c r="A61" s="7"/>
      <c r="B61" s="98"/>
      <c r="C61" s="59"/>
      <c r="D61" s="60"/>
      <c r="E61" s="61"/>
      <c r="F61" s="20"/>
      <c r="G61" s="62"/>
      <c r="H61" s="21"/>
      <c r="I61" s="63"/>
      <c r="J61" s="64"/>
      <c r="K61" s="65"/>
      <c r="L61" s="66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8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23.25" customHeight="1">
      <c r="A62" s="7"/>
      <c r="B62" s="98"/>
      <c r="C62" s="59"/>
      <c r="D62" s="60"/>
      <c r="E62" s="61"/>
      <c r="F62" s="20"/>
      <c r="G62" s="62"/>
      <c r="H62" s="21"/>
      <c r="I62" s="63"/>
      <c r="J62" s="64"/>
      <c r="K62" s="65"/>
      <c r="L62" s="66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8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23.25" customHeight="1">
      <c r="A63" s="7"/>
      <c r="B63" s="98"/>
      <c r="C63" s="59"/>
      <c r="D63" s="60"/>
      <c r="E63" s="61"/>
      <c r="F63" s="20"/>
      <c r="G63" s="62"/>
      <c r="H63" s="21"/>
      <c r="I63" s="63"/>
      <c r="J63" s="64"/>
      <c r="K63" s="65"/>
      <c r="L63" s="66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8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23.25" customHeight="1">
      <c r="A64" s="7"/>
      <c r="B64" s="98"/>
      <c r="C64" s="59"/>
      <c r="D64" s="60"/>
      <c r="E64" s="61"/>
      <c r="F64" s="20"/>
      <c r="G64" s="62"/>
      <c r="H64" s="21"/>
      <c r="I64" s="63"/>
      <c r="J64" s="64"/>
      <c r="K64" s="65"/>
      <c r="L64" s="66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8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23.25" customHeight="1">
      <c r="A65" s="7"/>
      <c r="B65" s="98"/>
      <c r="C65" s="59"/>
      <c r="D65" s="60"/>
      <c r="E65" s="61"/>
      <c r="F65" s="20"/>
      <c r="G65" s="62"/>
      <c r="H65" s="21"/>
      <c r="I65" s="63"/>
      <c r="J65" s="64"/>
      <c r="K65" s="65"/>
      <c r="L65" s="66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8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23.25" customHeight="1">
      <c r="A66" s="7"/>
      <c r="B66" s="98"/>
      <c r="C66" s="59"/>
      <c r="D66" s="60"/>
      <c r="E66" s="61"/>
      <c r="F66" s="20"/>
      <c r="G66" s="62"/>
      <c r="H66" s="21"/>
      <c r="I66" s="63"/>
      <c r="J66" s="64"/>
      <c r="K66" s="65"/>
      <c r="L66" s="66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8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23.25" customHeight="1">
      <c r="A67" s="7"/>
      <c r="B67" s="99"/>
      <c r="C67" s="16"/>
      <c r="D67" s="38"/>
      <c r="E67" s="58"/>
      <c r="F67" s="20" t="str">
        <f t="shared" si="0"/>
        <v/>
      </c>
      <c r="G67" s="40"/>
      <c r="H67" s="21" t="str">
        <f t="shared" si="1"/>
        <v/>
      </c>
      <c r="I67" s="42"/>
      <c r="J67" s="24" t="str">
        <f t="shared" si="2"/>
        <v/>
      </c>
      <c r="K67" s="25" t="str">
        <f t="shared" si="3"/>
        <v/>
      </c>
      <c r="L67" s="47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9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7"/>
      <c r="B68" s="5"/>
      <c r="C68" s="5"/>
      <c r="D68" s="5"/>
      <c r="E68" s="1"/>
      <c r="F68" s="7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7"/>
      <c r="B69" s="5"/>
      <c r="C69" s="5"/>
      <c r="D69" s="5"/>
      <c r="E69" s="1"/>
      <c r="F69" s="7"/>
      <c r="G69" s="1"/>
      <c r="H69" s="7"/>
      <c r="I69" s="1"/>
      <c r="J69" s="1"/>
      <c r="K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75" customHeight="1">
      <c r="B70" s="5"/>
      <c r="C70" s="5"/>
      <c r="D70" s="5"/>
    </row>
    <row r="71" spans="1:40" ht="15.75" customHeight="1"/>
    <row r="72" spans="1:40" ht="15.75" customHeight="1"/>
    <row r="73" spans="1:40" ht="15.75" customHeight="1"/>
    <row r="74" spans="1:40" ht="15.75" customHeight="1"/>
    <row r="75" spans="1:40" ht="15.75" customHeight="1"/>
    <row r="76" spans="1:40" ht="15.75" customHeight="1"/>
    <row r="77" spans="1:40" ht="15.75" customHeight="1"/>
    <row r="78" spans="1:40" ht="15.75" customHeight="1"/>
    <row r="79" spans="1:40" ht="15.75" customHeight="1"/>
    <row r="80" spans="1:4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</sheetData>
  <sheetProtection sheet="1" objects="1" scenarios="1" formatCells="0" insertColumns="0" insertRows="0" deleteColumns="0" deleteRows="0"/>
  <mergeCells count="9">
    <mergeCell ref="F8:G8"/>
    <mergeCell ref="H8:I8"/>
    <mergeCell ref="B9:B67"/>
    <mergeCell ref="J1:K1"/>
    <mergeCell ref="J2:K2"/>
    <mergeCell ref="J3:K3"/>
    <mergeCell ref="J4:K4"/>
    <mergeCell ref="F7:I7"/>
    <mergeCell ref="J7:K7"/>
  </mergeCells>
  <conditionalFormatting sqref="D9:D67">
    <cfRule type="cellIs" dxfId="4" priority="1" operator="equal">
      <formula>"Sí"</formula>
    </cfRule>
  </conditionalFormatting>
  <conditionalFormatting sqref="F9:F67 H9:H67">
    <cfRule type="cellIs" dxfId="3" priority="2" operator="lessThanOrEqual">
      <formula>0</formula>
    </cfRule>
    <cfRule type="cellIs" dxfId="2" priority="3" operator="greaterThan">
      <formula>0</formula>
    </cfRule>
  </conditionalFormatting>
  <conditionalFormatting sqref="J2:J3 L9:AE67">
    <cfRule type="cellIs" dxfId="1" priority="4" operator="equal">
      <formula>$J$2</formula>
    </cfRule>
    <cfRule type="cellIs" dxfId="0" priority="5" operator="equal">
      <formula>$J$3</formula>
    </cfRule>
  </conditionalFormatting>
  <dataValidations count="3">
    <dataValidation type="list" allowBlank="1" showInputMessage="1" showErrorMessage="1" sqref="D9:D67" xr:uid="{21D9B5E4-1F66-4074-BD9B-6861C22E6377}">
      <formula1>"Sí"</formula1>
    </dataValidation>
    <dataValidation allowBlank="1" showErrorMessage="1" sqref="J2:J4" xr:uid="{D22BD3D5-BF7C-45EB-95B4-AA4A90FEA854}"/>
    <dataValidation type="list" allowBlank="1" showErrorMessage="1" sqref="L9:AE23 L25:AE67 L24:M24 O24:AE24" xr:uid="{623BCBB3-E695-4428-864A-216869C504EF}">
      <formula1>$J$2:$J$3</formula1>
    </dataValidation>
  </dataValidations>
  <pageMargins left="0.7" right="0.7" top="0.75" bottom="0.75" header="0" footer="0"/>
  <pageSetup orientation="portrait"/>
  <drawing r:id="rId1"/>
  <legacyDrawing r:id="rId2"/>
</worksheet>
</file>

<file path=docMetadata/LabelInfo.xml><?xml version="1.0" encoding="utf-8"?>
<clbl:labelList xmlns:clbl="http://schemas.microsoft.com/office/2020/mipLabelMetadata">
  <clbl:label id="{0bfa236d-8472-42aa-9a40-ab46036c5596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2025-11-26T12:29:12Z</dcterms:created>
  <dcterms:modified xsi:type="dcterms:W3CDTF">2026-04-09T00:42:10Z</dcterms:modified>
  <cp:category/>
  <cp:contentStatus/>
</cp:coreProperties>
</file>